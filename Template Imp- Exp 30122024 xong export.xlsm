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E5CE44CF-BBA2-46A4-9E36-7D936D74E2B6}" xr6:coauthVersionLast="47" xr6:coauthVersionMax="47" xr10:uidLastSave="{00000000-0000-0000-0000-000000000000}"/>
  <bookViews>
    <workbookView xWindow="-120" yWindow="-120" windowWidth="38640" windowHeight="21120" activeTab="5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" i="6" l="1"/>
  <c r="AN4" i="2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Q4" i="4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AH7" i="2" s="1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U7" i="4" l="1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<sst xmlns="http://schemas.openxmlformats.org/spreadsheetml/2006/main" count="403" uniqueCount="239">
  <si>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</si>
  <si>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</si>
  <si>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</si>
  <si>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</si>
  <si>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</si>
  <si>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</si>
  <si>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</si>
  <si>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</si>
  <si>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</si>
  <si>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</si>
  <si>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</si>
  <si>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</si>
  <si>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</si>
  <si>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</si>
  <si>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</si>
  <si>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</si>
  <si>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</si>
  <si>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</si>
  <si>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</si>
  <si>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</si>
  <si>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</si>
  <si>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</si>
  <si>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</si>
  <si>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</si>
  <si>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</si>
  <si>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</si>
  <si>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</si>
  <si>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</si>
  <si>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</si>
  <si>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</si>
  <si>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</si>
  <si>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</si>
  <si>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</si>
  <si>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</si>
  <si>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</si>
  <si>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</si>
  <si>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</si>
  <si>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</si>
  <si>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</si>
  <si>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</si>
  <si>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</si>
  <si>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</si>
  <si>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</si>
  <si>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</si>
  <si>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</si>
  <si>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</si>
  <si>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</si>
  <si>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</si>
  <si>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</si>
  <si>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</si>
  <si>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</si>
  <si>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</si>
  <si>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</si>
  <si>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</si>
  <si>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</si>
  <si>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</si>
  <si>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</si>
  <si>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</si>
  <si>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</si>
  <si>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</si>
  <si>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</si>
  <si>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</si>
  <si>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</si>
  <si>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</si>
  <si>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</si>
  <si>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</si>
  <si>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</si>
  <si>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</si>
  <si>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</si>
  <si>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</si>
  <si>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</si>
  <si>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</si>
  <si>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</si>
  <si>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</si>
  <si>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</si>
  <si>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</si>
  <si>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</si>
  <si>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</si>
  <si>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</si>
  <si>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</si>
  <si>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</si>
  <si>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</si>
  <si>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</si>
  <si>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</si>
  <si>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</si>
  <si>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</si>
  <si>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</si>
  <si>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</si>
  <si>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</si>
  <si>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</si>
  <si>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</si>
  <si>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</si>
  <si>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</si>
  <si>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</si>
  <si>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</si>
  <si>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</si>
  <si>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</si>
  <si>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</si>
  <si>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</si>
  <si>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</si>
  <si>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</si>
  <si>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</si>
  <si>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</si>
  <si>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</si>
  <si>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</si>
  <si>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</si>
  <si>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</si>
  <si>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</si>
  <si>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</si>
  <si>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</si>
  <si>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</si>
  <si>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</si>
  <si>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</si>
  <si>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</si>
  <si>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</si>
  <si>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</si>
  <si>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</si>
  <si>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</si>
  <si>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</si>
  <si>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</si>
  <si>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</si>
  <si>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</si>
  <si>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</si>
  <si>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</si>
  <si>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</si>
  <si>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</si>
  <si>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</si>
  <si>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</si>
  <si>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</si>
  <si>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</si>
  <si>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</si>
  <si>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</si>
  <si>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</si>
  <si>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</si>
  <si>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</si>
  <si>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</si>
  <si>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</si>
  <si>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</si>
  <si>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</si>
  <si>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</si>
  <si>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</si>
  <si>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</si>
  <si>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</si>
  <si>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</si>
  <si>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</si>
  <si>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</si>
  <si>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</si>
  <si>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</si>
  <si>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</si>
  <si>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</si>
  <si>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</si>
  <si>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</si>
  <si>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</si>
  <si>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</si>
  <si>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</si>
  <si>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</si>
  <si>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</si>
  <si>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</si>
  <si>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</si>
  <si>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</si>
  <si>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</si>
  <si>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</si>
  <si>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</si>
  <si>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</si>
  <si>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</si>
  <si>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</si>
  <si>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</si>
  <si>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</si>
  <si>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</si>
  <si>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</si>
  <si>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</si>
  <si>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</si>
  <si>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</si>
  <si>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</si>
  <si>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</si>
  <si>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</si>
  <si>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</si>
  <si>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</si>
  <si>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</si>
  <si>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</si>
  <si>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</si>
  <si>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</si>
  <si>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</si>
  <si>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</si>
  <si>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</si>
  <si>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</si>
  <si>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</si>
  <si>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</si>
  <si>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</si>
  <si>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</si>
  <si>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</si>
  <si>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</si>
  <si>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</si>
  <si>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</si>
  <si>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</si>
  <si>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</si>
  <si>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</si>
  <si>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</si>
  <si>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</si>
  <si>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</si>
  <si>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</si>
  <si>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</si>
  <si>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</si>
  <si>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</si>
  <si>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</si>
  <si>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</si>
  <si>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</si>
  <si>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</si>
  <si>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</si>
  <si>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</si>
  <si>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</si>
  <si>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</si>
  <si>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</si>
  <si>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Ref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</si>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</sst>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9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3" formatCode="_(* #,##0_);_(* \(#,##0\);_(* &quot;-&quot;??_);_(@_)"/>
  </numFmts>
  <fonts count="22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00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19" fillId="7" borderId="1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0" fontId="18" fillId="13" borderId="0" xfId="0" applyFont="1" applyFill="1"/>
    <xf numFmtId="14" fontId="0" fillId="0" borderId="0" xfId="0" applyNumberFormat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  <xf numFmtId="172" fontId="5" fillId="0" borderId="2" xfId="0" applyNumberFormat="1" applyFont="1" applyBorder="1" applyAlignment="1">
      <alignment vertical="center"/>
    </xf>
    <xf numFmtId="183" fontId="8" fillId="0" borderId="8" xfId="1" applyNumberFormat="1" applyFont="1" applyBorder="1"/>
    <xf numFmtId="183" fontId="8" fillId="0" borderId="8" xfId="0" applyNumberFormat="1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E4" sqref="E4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235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/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97" t="s">
        <v>237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28"/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4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231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44"/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60"/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N4" sqref="N4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83" t="s">
        <v>62</v>
      </c>
      <c r="AC2" s="382"/>
      <c r="AD2" s="380" t="s">
        <v>63</v>
      </c>
      <c r="AE2" s="381"/>
      <c r="AF2" s="381"/>
      <c r="AG2" s="382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7" t="s">
        <v>234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5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6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5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6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6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O31" sqref="O31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213" t="s">
        <v>150</v>
      </c>
      <c r="W4" s="213" t="s">
        <v>150</v>
      </c>
      <c r="X4" s="213"/>
      <c r="Y4" s="213">
        <v>45309</v>
      </c>
      <c r="Z4" s="213">
        <v>45310</v>
      </c>
      <c r="AA4" s="213"/>
      <c r="AB4" s="207" t="s">
        <v>151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152</v>
      </c>
      <c r="B5" s="221" t="s">
        <v>50</v>
      </c>
      <c r="C5" s="222" t="s">
        <v>140</v>
      </c>
      <c r="D5" s="79" t="s">
        <v>153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154</v>
      </c>
      <c r="P5" s="78">
        <v>45314</v>
      </c>
      <c r="Q5" s="79" t="s">
        <v>147</v>
      </c>
      <c r="R5" s="214">
        <v>45374</v>
      </c>
      <c r="S5" s="78"/>
      <c r="T5" s="224" t="s">
        <v>155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151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156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389" t="s">
        <v>157</v>
      </c>
      <c r="Q2" s="390"/>
      <c r="R2" s="391" t="s">
        <v>158</v>
      </c>
      <c r="S2" s="392"/>
      <c r="T2" s="27"/>
      <c r="U2" s="394" t="s">
        <v>159</v>
      </c>
      <c r="V2" s="382"/>
      <c r="W2" s="395" t="s">
        <v>159</v>
      </c>
      <c r="X2" s="385"/>
      <c r="Y2" s="385"/>
      <c r="Z2" s="385"/>
      <c r="AA2" s="385"/>
      <c r="AB2" s="385"/>
      <c r="AC2" s="385"/>
      <c r="AD2" s="396"/>
      <c r="AE2" s="387" t="s">
        <v>62</v>
      </c>
      <c r="AF2" s="388"/>
      <c r="AG2" s="384" t="s">
        <v>160</v>
      </c>
      <c r="AH2" s="385"/>
      <c r="AI2" s="385"/>
      <c r="AJ2" s="385"/>
      <c r="AK2" s="385"/>
      <c r="AL2" s="385"/>
      <c r="AM2" s="385"/>
      <c r="AN2" s="386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161</v>
      </c>
      <c r="E3" s="255" t="s">
        <v>64</v>
      </c>
      <c r="F3" s="255" t="s">
        <v>162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163</v>
      </c>
      <c r="Q3" s="258" t="s">
        <v>10</v>
      </c>
      <c r="R3" s="258" t="s">
        <v>163</v>
      </c>
      <c r="S3" s="259" t="s">
        <v>10</v>
      </c>
      <c r="T3" s="260" t="s">
        <v>164</v>
      </c>
      <c r="U3" s="393" t="s">
        <v>165</v>
      </c>
      <c r="V3" s="382"/>
      <c r="W3" s="261" t="s">
        <v>166</v>
      </c>
      <c r="X3" s="262" t="s">
        <v>167</v>
      </c>
      <c r="Y3" s="107" t="s">
        <v>168</v>
      </c>
      <c r="Z3" s="263" t="s">
        <v>169</v>
      </c>
      <c r="AA3" s="119" t="s">
        <v>170</v>
      </c>
      <c r="AB3" s="264" t="s">
        <v>171</v>
      </c>
      <c r="AC3" s="107" t="s">
        <v>172</v>
      </c>
      <c r="AD3" s="265" t="s">
        <v>81</v>
      </c>
      <c r="AE3" s="266" t="s">
        <v>82</v>
      </c>
      <c r="AF3" s="267" t="s">
        <v>10</v>
      </c>
      <c r="AG3" s="268" t="s">
        <v>173</v>
      </c>
      <c r="AH3" s="269" t="s">
        <v>73</v>
      </c>
      <c r="AI3" s="269" t="s">
        <v>174</v>
      </c>
      <c r="AJ3" s="269" t="s">
        <v>175</v>
      </c>
      <c r="AK3" s="270" t="s">
        <v>176</v>
      </c>
      <c r="AL3" s="271" t="s">
        <v>177</v>
      </c>
      <c r="AM3" s="271" t="s">
        <v>178</v>
      </c>
      <c r="AN3" s="271" t="s">
        <v>179</v>
      </c>
      <c r="AO3" s="272" t="s">
        <v>180</v>
      </c>
      <c r="AP3" s="269" t="s">
        <v>181</v>
      </c>
      <c r="AQ3" s="273" t="s">
        <v>89</v>
      </c>
      <c r="AR3" s="268" t="s">
        <v>182</v>
      </c>
      <c r="AS3" s="269" t="s">
        <v>183</v>
      </c>
      <c r="AT3" s="271" t="s">
        <v>184</v>
      </c>
      <c r="AU3" s="257" t="s">
        <v>185</v>
      </c>
      <c r="AV3" s="274" t="s">
        <v>186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187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187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187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187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187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188</v>
      </c>
      <c r="D2" s="347" t="s">
        <v>17</v>
      </c>
      <c r="E2" s="347" t="s">
        <v>18</v>
      </c>
      <c r="F2" s="348" t="s">
        <v>189</v>
      </c>
      <c r="G2" s="348" t="s">
        <v>190</v>
      </c>
      <c r="H2" s="348" t="s">
        <v>191</v>
      </c>
      <c r="I2" s="348" t="s">
        <v>192</v>
      </c>
      <c r="J2" s="347" t="s">
        <v>193</v>
      </c>
      <c r="K2" s="347" t="s">
        <v>194</v>
      </c>
      <c r="L2" s="347" t="s">
        <v>195</v>
      </c>
      <c r="M2" s="347" t="s">
        <v>196</v>
      </c>
      <c r="N2" s="347" t="s">
        <v>197</v>
      </c>
      <c r="O2" s="347" t="s">
        <v>198</v>
      </c>
      <c r="P2" s="347" t="s">
        <v>106</v>
      </c>
      <c r="Q2" s="347" t="s">
        <v>199</v>
      </c>
      <c r="R2" s="347" t="s">
        <v>200</v>
      </c>
      <c r="S2" s="347" t="s">
        <v>201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202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203</v>
      </c>
      <c r="H3" s="354" t="s">
        <v>144</v>
      </c>
      <c r="I3" s="356">
        <f>IF(ISBLANK('Follow up'!$F3),"-",'Follow up'!$F3+3)</f>
        <v>45313</v>
      </c>
      <c r="J3" s="357" t="s">
        <v>204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205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206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207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208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tabSelected="1" zoomScale="85" zoomScaleNormal="85" workbookViewId="0">
      <selection activeCell="L24" sqref="L24"/>
    </sheetView>
  </sheetViews>
  <sheetFormatPr defaultColWidth="14.42578125" defaultRowHeight="15" customHeight="1" x14ac:dyDescent="0.25"/>
  <cols>
    <col min="1" max="1" width="9.8554687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10" width="13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209</v>
      </c>
    </row>
    <row r="2" spans="1:12" ht="14.25" customHeight="1" x14ac:dyDescent="0.25">
      <c r="A2" s="367" t="s">
        <v>210</v>
      </c>
      <c r="B2" s="69">
        <v>45261</v>
      </c>
      <c r="C2" s="367" t="s">
        <v>211</v>
      </c>
      <c r="D2" s="69">
        <v>45323</v>
      </c>
      <c r="F2" s="367" t="s">
        <v>212</v>
      </c>
      <c r="G2" s="373"/>
      <c r="I2" s="367" t="s">
        <v>26</v>
      </c>
      <c r="J2" s="378"/>
    </row>
    <row r="3" spans="1:12" ht="14.25" customHeight="1" x14ac:dyDescent="0.25">
      <c r="K3" t="s">
        <v>90</v>
      </c>
    </row>
    <row r="4" spans="1:12" ht="37.5" customHeight="1" x14ac:dyDescent="0.25">
      <c r="A4" s="6" t="s">
        <v>213</v>
      </c>
      <c r="B4" s="6" t="s">
        <v>1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214</v>
      </c>
      <c r="J4" s="6" t="s">
        <v>215</v>
      </c>
      <c r="K4" s="6" t="s">
        <v>216</v>
      </c>
      <c r="L4" s="7" t="s">
        <v>26</v>
      </c>
    </row>
    <row r="5" spans="1:12" ht="14.25" customHeight="1" x14ac:dyDescent="0.25">
      <c r="A5" s="368"/>
      <c r="B5" s="374">
        <v>45294</v>
      </c>
      <c r="C5" s="374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4">
        <v>45300</v>
      </c>
      <c r="I5" s="368"/>
      <c r="J5" s="374">
        <v>45300</v>
      </c>
      <c r="K5" s="398">
        <v>3726668</v>
      </c>
      <c r="L5" s="374" t="s">
        <v>46</v>
      </c>
    </row>
    <row r="6" spans="1:12" ht="14.25" customHeight="1" x14ac:dyDescent="0.25">
      <c r="A6" s="368"/>
      <c r="B6" s="374">
        <v>45294</v>
      </c>
      <c r="C6" s="374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4">
        <v>45300</v>
      </c>
      <c r="I6" s="368"/>
      <c r="J6" s="374">
        <v>45300</v>
      </c>
      <c r="K6" s="398">
        <v>0</v>
      </c>
      <c r="L6" s="374" t="s">
        <v>46</v>
      </c>
    </row>
    <row r="7" spans="1:12" ht="14.25" customHeight="1" x14ac:dyDescent="0.25">
      <c r="A7" s="368"/>
      <c r="B7" s="374">
        <v>45294</v>
      </c>
      <c r="C7" s="374">
        <v>45294</v>
      </c>
      <c r="D7" s="368" t="s">
        <v>231</v>
      </c>
      <c r="E7" s="368" t="s">
        <v>36</v>
      </c>
      <c r="F7" s="368" t="s">
        <v>48</v>
      </c>
      <c r="G7" s="368">
        <v>40169320</v>
      </c>
      <c r="H7" s="374">
        <v>45300</v>
      </c>
      <c r="I7" s="368"/>
      <c r="J7" s="374">
        <v>45300</v>
      </c>
      <c r="K7" s="398">
        <v>0</v>
      </c>
      <c r="L7" s="374" t="s">
        <v>46</v>
      </c>
    </row>
    <row r="8" spans="1:12" ht="14.25" customHeight="1" x14ac:dyDescent="0.25">
      <c r="A8" s="368"/>
      <c r="B8" s="374">
        <v>45314</v>
      </c>
      <c r="C8" s="374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4">
        <v>45317</v>
      </c>
      <c r="I8" s="368"/>
      <c r="J8" s="374">
        <v>45317</v>
      </c>
      <c r="K8" s="398">
        <v>114415337</v>
      </c>
      <c r="L8" s="374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68"/>
      <c r="K9" s="399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74"/>
      <c r="L17" s="368"/>
    </row>
    <row r="18" spans="1:12" ht="14.25" customHeight="1" x14ac:dyDescent="0.25">
      <c r="K18" s="379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220</v>
      </c>
    </row>
    <row r="23" spans="1:12" ht="50.1" customHeight="1" x14ac:dyDescent="0.25">
      <c r="A23" s="6" t="s">
        <v>2</v>
      </c>
      <c r="B23" t="s">
        <v>221</v>
      </c>
    </row>
    <row r="24" spans="1:12" ht="50.1" customHeight="1" x14ac:dyDescent="0.25">
      <c r="A24" s="6" t="s">
        <v>3</v>
      </c>
      <c r="B24" t="s">
        <v>222</v>
      </c>
    </row>
    <row r="25" spans="1:12" ht="50.1" customHeight="1" x14ac:dyDescent="0.25">
      <c r="A25" s="6" t="s">
        <v>4</v>
      </c>
      <c r="B25" t="s">
        <v>223</v>
      </c>
    </row>
    <row r="26" spans="1:12" ht="50.1" customHeight="1" x14ac:dyDescent="0.25">
      <c r="A26" s="6" t="s">
        <v>5</v>
      </c>
      <c r="B26" t="s">
        <v>224</v>
      </c>
    </row>
    <row r="27" spans="1:12" ht="50.1" customHeight="1" x14ac:dyDescent="0.25">
      <c r="A27" s="6" t="s">
        <v>6</v>
      </c>
      <c r="B27" s="373" t="s">
        <v>227</v>
      </c>
    </row>
    <row r="28" spans="1:12" ht="50.1" customHeight="1" x14ac:dyDescent="0.25">
      <c r="A28" s="6" t="s">
        <v>24</v>
      </c>
      <c r="B28" t="s">
        <v>228</v>
      </c>
    </row>
    <row r="29" spans="1:12" ht="50.1" customHeight="1" x14ac:dyDescent="0.25">
      <c r="A29" s="6" t="s">
        <v>214</v>
      </c>
      <c r="B29" t="s">
        <v>236</v>
      </c>
    </row>
    <row r="30" spans="1:12" ht="50.1" customHeight="1" x14ac:dyDescent="0.25">
      <c r="A30" s="6" t="s">
        <v>215</v>
      </c>
      <c r="B30" s="372" t="s">
        <v>226</v>
      </c>
    </row>
    <row r="31" spans="1:12" ht="50.1" customHeight="1" x14ac:dyDescent="0.25">
      <c r="A31" s="6" t="s">
        <v>216</v>
      </c>
      <c r="B31" s="373" t="s">
        <v>238</v>
      </c>
    </row>
    <row r="32" spans="1:12" ht="50.1" customHeight="1" x14ac:dyDescent="0.25">
      <c r="A32" s="6" t="s">
        <v>26</v>
      </c>
      <c r="B32" t="s">
        <v>225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00"/>
  <sheetViews>
    <sheetView workbookViewId="0">
      <selection activeCell="M5" sqref="M5"/>
    </sheetView>
  </sheetViews>
  <sheetFormatPr defaultColWidth="14.42578125" defaultRowHeight="15" customHeight="1" x14ac:dyDescent="0.25"/>
  <cols>
    <col min="1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6" ht="14.25" customHeight="1" x14ac:dyDescent="0.25">
      <c r="A1" s="93" t="s">
        <v>217</v>
      </c>
      <c r="C1" s="93"/>
    </row>
    <row r="2" spans="1:16" ht="14.25" customHeight="1" x14ac:dyDescent="0.25">
      <c r="B2" s="93"/>
      <c r="C2" s="93"/>
    </row>
    <row r="3" spans="1:16" ht="14.25" customHeight="1" x14ac:dyDescent="0.25">
      <c r="A3" s="367" t="s">
        <v>210</v>
      </c>
      <c r="B3" s="367"/>
      <c r="C3" s="367"/>
      <c r="D3" s="367" t="s">
        <v>211</v>
      </c>
      <c r="G3" s="367" t="s">
        <v>95</v>
      </c>
      <c r="J3" s="367" t="s">
        <v>26</v>
      </c>
    </row>
    <row r="4" spans="1:16" ht="14.25" customHeight="1" x14ac:dyDescent="0.25"/>
    <row r="5" spans="1:16" ht="50.25" customHeight="1" x14ac:dyDescent="0.25">
      <c r="A5" s="191" t="s">
        <v>213</v>
      </c>
      <c r="B5" s="191" t="s">
        <v>17</v>
      </c>
      <c r="C5" s="191" t="s">
        <v>18</v>
      </c>
      <c r="D5" s="191" t="s">
        <v>95</v>
      </c>
      <c r="E5" s="191" t="s">
        <v>4</v>
      </c>
      <c r="F5" s="191" t="s">
        <v>6</v>
      </c>
      <c r="G5" s="191" t="s">
        <v>5</v>
      </c>
      <c r="H5" s="191" t="s">
        <v>10</v>
      </c>
      <c r="I5" s="369" t="s">
        <v>101</v>
      </c>
      <c r="J5" s="191" t="s">
        <v>20</v>
      </c>
      <c r="K5" s="191" t="s">
        <v>218</v>
      </c>
      <c r="L5" s="191" t="s">
        <v>219</v>
      </c>
      <c r="M5" s="191" t="s">
        <v>215</v>
      </c>
      <c r="N5" s="191" t="s">
        <v>26</v>
      </c>
      <c r="O5" s="370" t="s">
        <v>185</v>
      </c>
      <c r="P5" s="371" t="s">
        <v>186</v>
      </c>
    </row>
    <row r="6" spans="1:16" ht="14.25" customHeight="1" x14ac:dyDescent="0.25">
      <c r="A6" s="368"/>
      <c r="B6" s="368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  <c r="P6" s="368"/>
    </row>
    <row r="7" spans="1:16" ht="14.25" customHeight="1" x14ac:dyDescent="0.25">
      <c r="A7" s="368"/>
      <c r="B7" s="368"/>
      <c r="C7" s="368"/>
      <c r="D7" s="368"/>
      <c r="E7" s="368"/>
      <c r="F7" s="368"/>
      <c r="G7" s="368"/>
      <c r="H7" s="368"/>
      <c r="I7" s="368"/>
      <c r="J7" s="368"/>
      <c r="K7" s="368"/>
      <c r="L7" s="368"/>
      <c r="M7" s="368"/>
      <c r="N7" s="368"/>
      <c r="O7" s="368"/>
      <c r="P7" s="368"/>
    </row>
    <row r="8" spans="1:16" ht="14.25" customHeight="1" x14ac:dyDescent="0.25">
      <c r="A8" s="368"/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  <c r="N8" s="368"/>
      <c r="O8" s="368"/>
      <c r="P8" s="368"/>
    </row>
    <row r="9" spans="1:16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</row>
    <row r="10" spans="1:16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</row>
    <row r="11" spans="1:16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</row>
    <row r="12" spans="1:16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368"/>
      <c r="P12" s="368"/>
    </row>
    <row r="13" spans="1:16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  <c r="P13" s="368"/>
    </row>
    <row r="14" spans="1:16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  <c r="P14" s="368"/>
    </row>
    <row r="15" spans="1:16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  <c r="P15" s="368"/>
    </row>
    <row r="16" spans="1:16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  <c r="P16" s="368"/>
    </row>
    <row r="17" spans="1:16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  <c r="P17" s="368"/>
    </row>
    <row r="18" spans="1:16" ht="14.25" customHeight="1" x14ac:dyDescent="0.25">
      <c r="A18" s="368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  <c r="P18" s="368"/>
    </row>
    <row r="19" spans="1:16" ht="14.25" customHeight="1" x14ac:dyDescent="0.25"/>
    <row r="20" spans="1:16" ht="14.25" customHeight="1" x14ac:dyDescent="0.25"/>
    <row r="21" spans="1:16" ht="14.25" customHeight="1" x14ac:dyDescent="0.25"/>
    <row r="22" spans="1:16" ht="14.25" customHeight="1" x14ac:dyDescent="0.25"/>
    <row r="23" spans="1:16" ht="14.25" customHeight="1" x14ac:dyDescent="0.25"/>
    <row r="24" spans="1:16" ht="14.25" customHeight="1" x14ac:dyDescent="0.25"/>
    <row r="25" spans="1:16" ht="14.25" customHeight="1" x14ac:dyDescent="0.25"/>
    <row r="26" spans="1:16" ht="14.25" customHeight="1" x14ac:dyDescent="0.25"/>
    <row r="27" spans="1:16" ht="14.25" customHeight="1" x14ac:dyDescent="0.25"/>
    <row r="28" spans="1:16" ht="14.25" customHeight="1" x14ac:dyDescent="0.25"/>
    <row r="29" spans="1:16" ht="14.25" customHeight="1" x14ac:dyDescent="0.25"/>
    <row r="30" spans="1:16" ht="14.25" customHeight="1" x14ac:dyDescent="0.25"/>
    <row r="31" spans="1:16" ht="14.25" customHeight="1" x14ac:dyDescent="0.25"/>
    <row r="32" spans="1:16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229</v>
      </c>
    </row>
    <row r="2" spans="1:1" x14ac:dyDescent="0.25">
      <c r="A2" t="s">
        <v>49</v>
      </c>
    </row>
    <row r="3" spans="1:1" x14ac:dyDescent="0.25">
      <c r="A3" t="s">
        <v>230</v>
      </c>
    </row>
    <row r="4" spans="1:1" x14ac:dyDescent="0.25">
      <c r="A4" t="s">
        <v>231</v>
      </c>
    </row>
    <row r="5" spans="1:1" x14ac:dyDescent="0.25">
      <c r="A5" t="s">
        <v>232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233</v>
      </c>
    </row>
    <row r="3" spans="1:1" x14ac:dyDescent="0.25">
      <c r="A3" s="30" t="s">
        <v>151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Props1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Admin</cp:lastModifiedBy>
  <cp:lastPrinted>2024-12-13T07:56:31Z</cp:lastPrinted>
  <dcterms:created xsi:type="dcterms:W3CDTF">2015-06-05T18:17:20Z</dcterms:created>
  <dcterms:modified xsi:type="dcterms:W3CDTF">2025-01-09T12:54:50Z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