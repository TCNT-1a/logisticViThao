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\Documents\Project\logisticViThao\"/>
    </mc:Choice>
  </mc:AlternateContent>
  <xr:revisionPtr revIDLastSave="0" documentId="13_ncr:1_{6278CA04-47EF-448D-88AA-D8744210B4B2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Export" sheetId="1" r:id="rId1"/>
    <sheet name="EXP Details" sheetId="2" r:id="rId2"/>
    <sheet name="IMPORT" sheetId="3" r:id="rId3"/>
    <sheet name="IMP_Details" sheetId="4" r:id="rId4"/>
    <sheet name="Follow up" sheetId="5" r:id="rId5"/>
    <sheet name="EXP - Report" sheetId="6" r:id="rId6"/>
    <sheet name="IMP - Report" sheetId="7" r:id="rId7"/>
    <sheet name="Customer list" sheetId="9" r:id="rId8"/>
    <sheet name="Forwarder list" sheetId="10" r:id="rId9"/>
  </sheets>
  <functionGroups builtInGroupCount="19"/>
  <definedNames>
    <definedName name="_xlnm._FilterDatabase" localSheetId="1" hidden="1">'EXP Details'!$A$3:$AN$11</definedName>
    <definedName name="_xlnm._FilterDatabase" localSheetId="3" hidden="1">IMP_Details!$A$3:$AV$8</definedName>
    <definedName name="_xlnm._FilterDatabase" localSheetId="2" hidden="1">IMPORT!$A$3:$AI$13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" i="7" l="1"/>
  <c r="N8" i="7"/>
  <c r="K9" i="6"/>
  <c r="B5" i="2"/>
  <c r="B6" i="2"/>
  <c r="B7" i="2"/>
  <c r="I8" i="5"/>
  <c r="I7" i="5"/>
  <c r="I6" i="5"/>
  <c r="I5" i="5"/>
  <c r="I4" i="5"/>
  <c r="E4" i="5"/>
  <c r="D4" i="5"/>
  <c r="B4" i="5"/>
  <c r="A4" i="5"/>
  <c r="I3" i="5"/>
  <c r="E3" i="5"/>
  <c r="D3" i="5"/>
  <c r="B3" i="5"/>
  <c r="A3" i="5"/>
  <c r="Y10" i="4"/>
  <c r="AV8" i="4"/>
  <c r="AQ8" i="4"/>
  <c r="AO8" i="4"/>
  <c r="O8" i="4"/>
  <c r="N8" i="4"/>
  <c r="M8" i="4"/>
  <c r="L8" i="4"/>
  <c r="K8" i="4"/>
  <c r="E8" i="4"/>
  <c r="D8" i="4"/>
  <c r="C8" i="4"/>
  <c r="B8" i="4"/>
  <c r="A8" i="4"/>
  <c r="AV7" i="4"/>
  <c r="AQ7" i="4"/>
  <c r="AO7" i="4"/>
  <c r="O7" i="4"/>
  <c r="N7" i="4"/>
  <c r="M7" i="4"/>
  <c r="L7" i="4"/>
  <c r="K7" i="4"/>
  <c r="E7" i="4"/>
  <c r="D7" i="4"/>
  <c r="C7" i="4"/>
  <c r="B7" i="4"/>
  <c r="A7" i="4"/>
  <c r="O6" i="4"/>
  <c r="N6" i="4"/>
  <c r="M6" i="4"/>
  <c r="L6" i="4"/>
  <c r="K6" i="4"/>
  <c r="E6" i="4"/>
  <c r="D6" i="4"/>
  <c r="C6" i="4"/>
  <c r="B6" i="4"/>
  <c r="A6" i="4"/>
  <c r="AV5" i="4"/>
  <c r="AT5" i="4"/>
  <c r="AR5" i="4" s="1"/>
  <c r="AI5" i="4"/>
  <c r="AQ5" i="4" s="1"/>
  <c r="V5" i="4"/>
  <c r="O5" i="4"/>
  <c r="N5" i="4"/>
  <c r="M5" i="4"/>
  <c r="L5" i="4"/>
  <c r="K5" i="4"/>
  <c r="E5" i="4"/>
  <c r="D5" i="4"/>
  <c r="C5" i="4"/>
  <c r="B5" i="4"/>
  <c r="A5" i="4"/>
  <c r="AV4" i="4"/>
  <c r="AV10" i="4" s="1"/>
  <c r="AI4" i="4"/>
  <c r="AI10" i="4" s="1"/>
  <c r="O4" i="4"/>
  <c r="N4" i="4"/>
  <c r="M4" i="4"/>
  <c r="L4" i="4"/>
  <c r="K4" i="4"/>
  <c r="E4" i="4"/>
  <c r="D4" i="4"/>
  <c r="C4" i="4"/>
  <c r="B4" i="4"/>
  <c r="A4" i="4"/>
  <c r="AF13" i="3"/>
  <c r="AF5" i="3"/>
  <c r="H5" i="3"/>
  <c r="H4" i="3"/>
  <c r="V13" i="2"/>
  <c r="AG7" i="2"/>
  <c r="AC7" i="2"/>
  <c r="O7" i="2"/>
  <c r="N7" i="2"/>
  <c r="M7" i="2"/>
  <c r="L7" i="2"/>
  <c r="K7" i="2"/>
  <c r="F7" i="2"/>
  <c r="E7" i="2"/>
  <c r="D7" i="2"/>
  <c r="C7" i="2"/>
  <c r="A7" i="2"/>
  <c r="O6" i="2"/>
  <c r="N6" i="2"/>
  <c r="M6" i="2"/>
  <c r="L6" i="2"/>
  <c r="K6" i="2"/>
  <c r="F6" i="2"/>
  <c r="E6" i="2"/>
  <c r="D6" i="2"/>
  <c r="C6" i="2"/>
  <c r="A6" i="2"/>
  <c r="O5" i="2"/>
  <c r="N5" i="2"/>
  <c r="M5" i="2"/>
  <c r="L5" i="2"/>
  <c r="K5" i="2"/>
  <c r="F5" i="2"/>
  <c r="E5" i="2"/>
  <c r="D5" i="2"/>
  <c r="C5" i="2"/>
  <c r="A5" i="2"/>
  <c r="AK4" i="2"/>
  <c r="AN4" i="2" s="1"/>
  <c r="O4" i="2"/>
  <c r="N4" i="2"/>
  <c r="M4" i="2"/>
  <c r="L4" i="2"/>
  <c r="K4" i="2"/>
  <c r="F4" i="2"/>
  <c r="E4" i="2"/>
  <c r="D4" i="2"/>
  <c r="C4" i="2"/>
  <c r="A4" i="2"/>
  <c r="AD7" i="1"/>
  <c r="J7" i="1"/>
  <c r="AI6" i="1"/>
  <c r="J6" i="1"/>
  <c r="AI5" i="1"/>
  <c r="J5" i="1"/>
  <c r="J4" i="1"/>
  <c r="AQ4" i="4" l="1"/>
  <c r="AH7" i="2"/>
  <c r="AU7" i="4"/>
  <c r="AK13" i="2"/>
  <c r="AU8" i="4"/>
  <c r="AJ7" i="2"/>
  <c r="AH13" i="2"/>
  <c r="K4" i="1"/>
  <c r="AO4" i="4"/>
  <c r="AU4" i="4" s="1"/>
  <c r="AO5" i="4"/>
  <c r="AU5" i="4" s="1"/>
  <c r="I5" i="3" s="1"/>
  <c r="AE5" i="3" s="1"/>
  <c r="AG5" i="3" s="1"/>
  <c r="I4" i="3" l="1"/>
  <c r="AU10" i="4"/>
  <c r="AH5" i="3"/>
  <c r="AI5" i="3" s="1"/>
  <c r="AN7" i="2"/>
  <c r="AJ13" i="2"/>
  <c r="K7" i="1" l="1"/>
  <c r="AE7" i="1" s="1"/>
  <c r="AG7" i="1" s="1"/>
  <c r="AN13" i="2"/>
  <c r="AH7" i="1" l="1"/>
  <c r="AI7" i="1" s="1"/>
  <c r="AJ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I2" authorId="0" shapeId="0" xr:uid="{00000000-0006-0000-0200-000001000000}">
      <text>
        <r>
          <rPr>
            <sz val="11"/>
            <color rgb="FF000000"/>
            <rFont val="Calibri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Total logistics expense (exclusive VAT and IMP tax)</t>
        </r>
      </text>
    </comment>
  </commentList>
</comments>
</file>

<file path=xl/sharedStrings.xml><?xml version="1.0" encoding="utf-8"?>
<sst xmlns="http://schemas.openxmlformats.org/spreadsheetml/2006/main" count="429" uniqueCount="252">
  <si>
    <t>EXPORT FOLLOW UP</t>
  </si>
  <si>
    <t>Planned
Pick-up day</t>
  </si>
  <si>
    <t>Actual
Pick-up day</t>
  </si>
  <si>
    <t>Customer
/ Consignee</t>
  </si>
  <si>
    <t>Country</t>
  </si>
  <si>
    <t>Product</t>
  </si>
  <si>
    <t>HS Code</t>
  </si>
  <si>
    <t>Unit</t>
  </si>
  <si>
    <t>Quantity</t>
  </si>
  <si>
    <t>Unit Price</t>
  </si>
  <si>
    <t>Amount</t>
  </si>
  <si>
    <t>Logistics expense</t>
  </si>
  <si>
    <t>PO No.</t>
  </si>
  <si>
    <t>PO Date</t>
  </si>
  <si>
    <t>Term of payment</t>
  </si>
  <si>
    <t>Term of delivery</t>
  </si>
  <si>
    <t>Type of
freight</t>
  </si>
  <si>
    <t>Invoice No.</t>
  </si>
  <si>
    <t>Invoice Date</t>
  </si>
  <si>
    <t>Customs Sheet
No. / TKHQ</t>
  </si>
  <si>
    <t>Status of order</t>
  </si>
  <si>
    <t>Available day</t>
  </si>
  <si>
    <t>Departure day</t>
  </si>
  <si>
    <t>Arrival day</t>
  </si>
  <si>
    <t>Requested
Delivery day</t>
  </si>
  <si>
    <t>Airway Bill
Bill of lading</t>
  </si>
  <si>
    <t>Forwarder</t>
  </si>
  <si>
    <t>Note</t>
  </si>
  <si>
    <t>Net Weight
per pc</t>
  </si>
  <si>
    <t>Net weight
per product (kg)</t>
  </si>
  <si>
    <t>Total Logs expense per product</t>
  </si>
  <si>
    <t>Exchange rate
VND / EUR</t>
  </si>
  <si>
    <t>Logs expense per pc</t>
  </si>
  <si>
    <t>Landed cost
per pc</t>
  </si>
  <si>
    <t>Logs exps / landed cost</t>
  </si>
  <si>
    <t>ACBD</t>
  </si>
  <si>
    <t>Turkey</t>
  </si>
  <si>
    <t>Oring - D9 / 3.4</t>
  </si>
  <si>
    <t>40169320</t>
  </si>
  <si>
    <t>pc</t>
  </si>
  <si>
    <t>Sample F.O.C</t>
  </si>
  <si>
    <t>DDU - Bursa, Turkey</t>
  </si>
  <si>
    <t>Express</t>
  </si>
  <si>
    <t>306161176000</t>
  </si>
  <si>
    <t>Done</t>
  </si>
  <si>
    <t>774666406000</t>
  </si>
  <si>
    <t>FedEx</t>
  </si>
  <si>
    <t>GASKET BLACK SHA70</t>
  </si>
  <si>
    <t xml:space="preserve">Oring - D17.5 / 1.5 </t>
  </si>
  <si>
    <t>BFGH</t>
  </si>
  <si>
    <t>Italy</t>
  </si>
  <si>
    <t>Oring - D36 / 5</t>
  </si>
  <si>
    <t>198357</t>
  </si>
  <si>
    <t>NET 60</t>
  </si>
  <si>
    <t>DAP - Bursa, Turkey</t>
  </si>
  <si>
    <t>Air freight</t>
  </si>
  <si>
    <t>22012024-01</t>
  </si>
  <si>
    <t>306161176001</t>
  </si>
  <si>
    <t>5152240000</t>
  </si>
  <si>
    <t>Karl Gross</t>
  </si>
  <si>
    <t>EXPORT - DETAILS OF LOGISTICS EXPENSES</t>
  </si>
  <si>
    <t>Local charge in Vietnam</t>
  </si>
  <si>
    <t>International freight</t>
  </si>
  <si>
    <t>Local charge in Foreign country</t>
  </si>
  <si>
    <t>Customs Sheet
No.</t>
  </si>
  <si>
    <t>AWB / BL No.</t>
  </si>
  <si>
    <t>Number of
pallet / box</t>
  </si>
  <si>
    <t>Gross 
weight (kg)</t>
  </si>
  <si>
    <t>CBM</t>
  </si>
  <si>
    <t>Chargeable weight (kg)</t>
  </si>
  <si>
    <t>AWB / B/L fee
Document fee</t>
  </si>
  <si>
    <t>Customs Fee</t>
  </si>
  <si>
    <t>Trucking Fee</t>
  </si>
  <si>
    <t>Handling fee</t>
  </si>
  <si>
    <t>Non - stackable</t>
  </si>
  <si>
    <t>THC</t>
  </si>
  <si>
    <t>CFS</t>
  </si>
  <si>
    <t>LSS</t>
  </si>
  <si>
    <t>RR</t>
  </si>
  <si>
    <t>ENS</t>
  </si>
  <si>
    <t>EBS</t>
  </si>
  <si>
    <t>Surcharge</t>
  </si>
  <si>
    <t>Rate / kg
(chargeable weight)</t>
  </si>
  <si>
    <t>Delivery Order</t>
  </si>
  <si>
    <t>Agency fee
Handling fee</t>
  </si>
  <si>
    <t>Document fee</t>
  </si>
  <si>
    <t>Total amount
(USD, excl. VAT)</t>
  </si>
  <si>
    <t>Exchange rate
on forwarder's debit note</t>
  </si>
  <si>
    <t>Total amount
(VND, excl. VAT)</t>
  </si>
  <si>
    <t>VAT</t>
  </si>
  <si>
    <t>Total amount
(VND, incl. VAT)</t>
  </si>
  <si>
    <t>01 box</t>
  </si>
  <si>
    <t>05 pallets</t>
  </si>
  <si>
    <t xml:space="preserve"> </t>
  </si>
  <si>
    <t>OVERSEA PURCHASE ORDER FOLLOW UP</t>
  </si>
  <si>
    <t>Supplier</t>
  </si>
  <si>
    <t>Price</t>
  </si>
  <si>
    <t>Offer / SO No.</t>
  </si>
  <si>
    <t>Offer date</t>
  </si>
  <si>
    <t>Type of freigt</t>
  </si>
  <si>
    <t>Received document</t>
  </si>
  <si>
    <t>DUE DATE</t>
  </si>
  <si>
    <t>AWB / BL</t>
  </si>
  <si>
    <t>Customs Sheet</t>
  </si>
  <si>
    <t>Re. Deli day APVN</t>
  </si>
  <si>
    <t>Pick-up day</t>
  </si>
  <si>
    <t>Delivery day</t>
  </si>
  <si>
    <t>Next step</t>
  </si>
  <si>
    <t>Logs. Exp</t>
  </si>
  <si>
    <t>Exchange rate</t>
  </si>
  <si>
    <t>Landed cost</t>
  </si>
  <si>
    <t>Logs exps /</t>
  </si>
  <si>
    <t>Nhà cung cấp</t>
  </si>
  <si>
    <t>Quốc gia</t>
  </si>
  <si>
    <t>Sản phẩm</t>
  </si>
  <si>
    <t>Đơn vị</t>
  </si>
  <si>
    <t>Số lượng</t>
  </si>
  <si>
    <t>Giá</t>
  </si>
  <si>
    <t>Thành tiền</t>
  </si>
  <si>
    <t>Số báo giá</t>
  </si>
  <si>
    <t>Ngày báo giá</t>
  </si>
  <si>
    <t>Điều kiện giao</t>
  </si>
  <si>
    <t>Chứng từ đã nhận</t>
  </si>
  <si>
    <t>Hóa đơn số</t>
  </si>
  <si>
    <t>Ngày hóa đơn</t>
  </si>
  <si>
    <t>Điều kiện thanh toán</t>
  </si>
  <si>
    <t>HẠN THANH TOÁN</t>
  </si>
  <si>
    <t>No.</t>
  </si>
  <si>
    <t>Tình trạng đơn hàng</t>
  </si>
  <si>
    <t>Ngày yêu cầu ở APVN</t>
  </si>
  <si>
    <t>Ngày có hàng</t>
  </si>
  <si>
    <t>Ngày lấy</t>
  </si>
  <si>
    <t>Ngày đi</t>
  </si>
  <si>
    <t>Ngày đến</t>
  </si>
  <si>
    <t>Ngày giao</t>
  </si>
  <si>
    <t>Ghi chú</t>
  </si>
  <si>
    <t>Bước tiếp theo</t>
  </si>
  <si>
    <t>Per product</t>
  </si>
  <si>
    <t>Per kg</t>
  </si>
  <si>
    <t xml:space="preserve"> landed cost</t>
  </si>
  <si>
    <t>40059990</t>
  </si>
  <si>
    <t>RUBBER EPDM E7020S</t>
  </si>
  <si>
    <t>kg</t>
  </si>
  <si>
    <t>DAP - Bien Hoa City, Vietnam</t>
  </si>
  <si>
    <t>Air-freight</t>
  </si>
  <si>
    <t>Commercial Invoice, Packing list.</t>
  </si>
  <si>
    <t>API2024000000087</t>
  </si>
  <si>
    <t>Bank transfer, NET 60</t>
  </si>
  <si>
    <t>106041226000</t>
  </si>
  <si>
    <t>Delivered</t>
  </si>
  <si>
    <t>BEE</t>
  </si>
  <si>
    <t>DMAG</t>
  </si>
  <si>
    <t>RUBBER EPDM E6016S</t>
  </si>
  <si>
    <t>ITS2024000000003</t>
  </si>
  <si>
    <t>106041226001</t>
  </si>
  <si>
    <t>IMPORT - DETAILS OF LOGISTICS EXPENSES</t>
  </si>
  <si>
    <t>Import tax</t>
  </si>
  <si>
    <t>VAT of imported goods</t>
  </si>
  <si>
    <t>Foreign country</t>
  </si>
  <si>
    <t>in Vietnam</t>
  </si>
  <si>
    <t>AWB / BL
No.</t>
  </si>
  <si>
    <t>C/O Form No.</t>
  </si>
  <si>
    <t>Rate</t>
  </si>
  <si>
    <t>Exchange rate
on customs 
decl. sheet</t>
  </si>
  <si>
    <t>Supplier's EXW fee</t>
  </si>
  <si>
    <t>Pick up fee
(Trucking)</t>
  </si>
  <si>
    <t>AWB / BL fee
Document fee</t>
  </si>
  <si>
    <t>Customs clearance</t>
  </si>
  <si>
    <t>Non-stackable fee</t>
  </si>
  <si>
    <t>VGM</t>
  </si>
  <si>
    <t>Lift on / Lift off
(container only)</t>
  </si>
  <si>
    <t>Cargo acceptance / Entrance fee</t>
  </si>
  <si>
    <t>D/O Fee</t>
  </si>
  <si>
    <t>Customs 
clearance fee</t>
  </si>
  <si>
    <t>Trucking fee
(Port to APVN)</t>
  </si>
  <si>
    <t>THC / Import service</t>
  </si>
  <si>
    <t>CIC</t>
  </si>
  <si>
    <t>CFS
(usd*cbm)</t>
  </si>
  <si>
    <t>Congestion
Surcharge</t>
  </si>
  <si>
    <t>Total amount
(Excl. VAT)</t>
  </si>
  <si>
    <t>Exchange rate
on forwarder's 
debit note</t>
  </si>
  <si>
    <t>Warehouse
fee (incl. VAT)</t>
  </si>
  <si>
    <t>Customs fee</t>
  </si>
  <si>
    <t>Infrastructure / import service charge</t>
  </si>
  <si>
    <t>Total amount
of logistics cost</t>
  </si>
  <si>
    <t>Total amount of import tax + VAT</t>
  </si>
  <si>
    <t>5 pallets</t>
  </si>
  <si>
    <t>Chargeable weight / CBM</t>
  </si>
  <si>
    <t>Arrival date</t>
  </si>
  <si>
    <t>A/N date</t>
  </si>
  <si>
    <t>Transported by</t>
  </si>
  <si>
    <t>Due date</t>
  </si>
  <si>
    <t>Customs Sheet No</t>
  </si>
  <si>
    <t>Date of CD</t>
  </si>
  <si>
    <t>Request payment</t>
  </si>
  <si>
    <t>Brendel request</t>
  </si>
  <si>
    <t>Eray approval</t>
  </si>
  <si>
    <t>Payment day</t>
  </si>
  <si>
    <t>Days of late</t>
  </si>
  <si>
    <t>Storage fee</t>
  </si>
  <si>
    <t>note</t>
  </si>
  <si>
    <t>1.516 kg</t>
  </si>
  <si>
    <t>20/01/2024
(Saturday)</t>
  </si>
  <si>
    <t>106041226650</t>
  </si>
  <si>
    <t>4 days</t>
  </si>
  <si>
    <t>1,116.5 kg</t>
  </si>
  <si>
    <t>106053091651</t>
  </si>
  <si>
    <t>3 days</t>
  </si>
  <si>
    <t>EXPORT -  REPORT</t>
  </si>
  <si>
    <t xml:space="preserve">Từ </t>
  </si>
  <si>
    <t>Đến</t>
  </si>
  <si>
    <t>Customer</t>
  </si>
  <si>
    <t>Actual Delivery Day</t>
  </si>
  <si>
    <t>Date Deviation</t>
  </si>
  <si>
    <t>Total logistics cost (VND, incl.)</t>
  </si>
  <si>
    <t>IMPORT -  REPORT</t>
  </si>
  <si>
    <t>Request Delivery day</t>
  </si>
  <si>
    <t>Actual Delivery</t>
  </si>
  <si>
    <t>Cột A sheet Export</t>
  </si>
  <si>
    <t>Cột B sheet Export</t>
  </si>
  <si>
    <t>Cột C sheet Export</t>
  </si>
  <si>
    <t>Cột d sheet Export</t>
  </si>
  <si>
    <t>Cột E sheet Export</t>
  </si>
  <si>
    <t>Cột Z sheet Export</t>
  </si>
  <si>
    <t>=Requested Delivery day- Actual Delivery Day</t>
  </si>
  <si>
    <t>Cột O sheet EXP Details</t>
  </si>
  <si>
    <t>Cột X  sheet Export</t>
  </si>
  <si>
    <t>ABCD</t>
  </si>
  <si>
    <t>FTDD</t>
  </si>
  <si>
    <t>TTTT</t>
  </si>
  <si>
    <t>BBBB</t>
  </si>
  <si>
    <t>DHL</t>
  </si>
  <si>
    <t>Insfrastructure</t>
  </si>
  <si>
    <t>Actual
Delivery day</t>
  </si>
  <si>
    <t>Cột Y sheet Export</t>
  </si>
  <si>
    <t>%</t>
  </si>
  <si>
    <t>Cột AN sheet EXP Details</t>
  </si>
  <si>
    <t xml:space="preserve">A5:  cột O Sheet Import </t>
  </si>
  <si>
    <t xml:space="preserve">B5: cột P Import_Detail </t>
  </si>
  <si>
    <t>C5: cột A sheet Import</t>
  </si>
  <si>
    <t>D5: cột B sheet Import</t>
  </si>
  <si>
    <t>E5: cột C sheet Import</t>
  </si>
  <si>
    <t>F5: cột D sheet Import</t>
  </si>
  <si>
    <t>G5: cột H sheet Import</t>
  </si>
  <si>
    <t>H5:  Cột R  sheet Import</t>
  </si>
  <si>
    <t>I: cột u sheet import</t>
  </si>
  <si>
    <t>M=AB sheet import</t>
  </si>
  <si>
    <t>N= AU sheet imp-detail</t>
  </si>
  <si>
    <t>O= Av sheet imp-detail</t>
  </si>
  <si>
    <t>j = V sheet import</t>
  </si>
  <si>
    <t>K=AA import</t>
  </si>
  <si>
    <t>L=j-k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</si>
</sst>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43" formatCode="_(* #,##0.00_);_(* \(#,##0.00\);_(* &quot;-&quot;??_);_(@_)"/>
    <numFmt numFmtId="164" formatCode="_-* #,##0_-;\-* #,##0_-;_-* &quot;-&quot;??_-;_-@"/>
    <numFmt numFmtId="165" formatCode="_-[$EUR]\ * #,##0.00_-;\-[$EUR]\ * #,##0.00_-;_-[$EUR]\ * &quot;-&quot;??_-;_-@"/>
    <numFmt numFmtId="166" formatCode="_-[$EUR]\ * #,##0.0_-;\-[$EUR]\ * #,##0.0_-;_-[$EUR]\ * &quot;-&quot;??_-;_-@"/>
    <numFmt numFmtId="167" formatCode="_-[$VND]\ * #,##0_-;\-[$VND]\ * #,##0_-;_-[$VND]\ * &quot;-&quot;_-;_-@"/>
    <numFmt numFmtId="168" formatCode="_-* #,##0.000000_-;\-* #,##0.000000_-;_-* &quot;-&quot;??_-;_-@"/>
    <numFmt numFmtId="169" formatCode="_-* #,##0.00_-;\-* #,##0.00_-;_-* &quot;-&quot;??_-;_-@"/>
    <numFmt numFmtId="170" formatCode="_-[$VND]\ * #,##0_-;\-[$VND]\ * #,##0_-;_-[$VND]\ * &quot;-&quot;??_-;_-@"/>
    <numFmt numFmtId="171" formatCode="_-[$EUR]\ * #,##0.0000_-;\-[$EUR]\ * #,##0.0000_-;_-[$EUR]\ * &quot;-&quot;?????_-;_-@"/>
    <numFmt numFmtId="172" formatCode="0.0%"/>
    <numFmt numFmtId="173" formatCode="_-[$EUR]\ * #,##0.0000_-;\-[$EUR]\ * #,##0.0000_-;_-[$EUR]\ * &quot;-&quot;??_-;_-@"/>
    <numFmt numFmtId="174" formatCode="_-* #,##0.0_-;\-* #,##0.0_-;_-* &quot;-&quot;??_-;_-@"/>
    <numFmt numFmtId="175" formatCode="_-[$USD]\ * #,##0_-;\-[$USD]\ * #,##0_-;_-[$USD]\ * &quot;-&quot;_-;_-@"/>
    <numFmt numFmtId="176" formatCode="_-[$USD]\ * #,##0.00_-;\-[$USD]\ * #,##0.00_-;_-[$USD]\ * &quot;-&quot;??_-;_-@"/>
    <numFmt numFmtId="177" formatCode="_-[$USD]\ * #,##0.0_-;\-[$USD]\ * #,##0.0_-;_-[$USD]\ * &quot;-&quot;_-;_-@"/>
    <numFmt numFmtId="178" formatCode="_-[$USD]\ * #,##0.00_-;\-[$USD]\ * #,##0.00_-;_-[$USD]\ * &quot;-&quot;_-;_-@"/>
    <numFmt numFmtId="179" formatCode="0.00000"/>
    <numFmt numFmtId="180" formatCode="_-[$USD]\ * #,##0.0_-;\-[$USD]\ * #,##0.0_-;_-[$USD]\ * &quot;-&quot;?_-;_-@"/>
    <numFmt numFmtId="181" formatCode="_(* #,##0_);_(* \(#,##0\);_(* &quot;-&quot;??_);_(@_)"/>
    <numFmt numFmtId="182" formatCode="0_);\(0\)"/>
  </numFmts>
  <fonts count="25" x14ac:knownFonts="1">
    <font>
      <sz val="11"/>
      <color rgb="FF000000"/>
      <name val="Calibri"/>
      <scheme val="minor"/>
    </font>
    <font>
      <b/>
      <sz val="18"/>
      <name val="Arial"/>
    </font>
    <font>
      <b/>
      <sz val="11"/>
      <name val="Arial"/>
    </font>
    <font>
      <sz val="11"/>
      <name val="Arial"/>
    </font>
    <font>
      <b/>
      <sz val="10"/>
      <name val="Arial"/>
    </font>
    <font>
      <sz val="10"/>
      <name val="Arial"/>
    </font>
    <font>
      <sz val="10"/>
      <name val="Arial"/>
    </font>
    <font>
      <b/>
      <sz val="12"/>
      <name val="Arial"/>
    </font>
    <font>
      <sz val="11"/>
      <name val="Calibri"/>
    </font>
    <font>
      <sz val="11"/>
      <name val="Calibri"/>
    </font>
    <font>
      <b/>
      <sz val="10"/>
      <name val="Arial"/>
    </font>
    <font>
      <sz val="10"/>
      <color rgb="FFFF0000"/>
      <name val="Arial"/>
    </font>
    <font>
      <b/>
      <sz val="10"/>
      <color rgb="FFC00000"/>
      <name val="Arial"/>
    </font>
    <font>
      <b/>
      <sz val="14"/>
      <name val="Arial"/>
    </font>
    <font>
      <b/>
      <sz val="11"/>
      <name val="Arial"/>
    </font>
    <font>
      <b/>
      <sz val="9"/>
      <name val="Arial"/>
    </font>
    <font>
      <sz val="9"/>
      <name val="Arial"/>
    </font>
    <font>
      <sz val="9"/>
      <color rgb="FFFF0000"/>
      <name val="Arial"/>
    </font>
    <font>
      <b/>
      <sz val="11"/>
      <name val="Calibri"/>
    </font>
    <font>
      <b/>
      <sz val="10"/>
      <color rgb="FFFFFF00"/>
      <name val="Arial"/>
    </font>
    <font>
      <b/>
      <sz val="10"/>
      <name val="Arial"/>
      <family val="2"/>
    </font>
    <font>
      <sz val="11"/>
      <color rgb="FF0000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C5E0B3"/>
        <bgColor rgb="FFC5E0B3"/>
      </patternFill>
    </fill>
    <fill>
      <patternFill patternType="solid">
        <fgColor rgb="FFDEEAF6"/>
        <bgColor rgb="FFDEEAF6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9CC2E5"/>
        <bgColor rgb="FF9CC2E5"/>
      </patternFill>
    </fill>
    <fill>
      <patternFill patternType="solid">
        <fgColor rgb="FFBDD6EE"/>
        <bgColor rgb="FFBDD6EE"/>
      </patternFill>
    </fill>
    <fill>
      <patternFill patternType="solid">
        <fgColor rgb="FFF7CAAC"/>
        <bgColor rgb="FFF7CAAC"/>
      </patternFill>
    </fill>
    <fill>
      <patternFill patternType="solid">
        <fgColor rgb="FFFFE598"/>
        <bgColor rgb="FFFFE598"/>
      </patternFill>
    </fill>
    <fill>
      <patternFill patternType="solid">
        <fgColor rgb="FFCCFFFF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/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dotted">
        <color rgb="FF000000"/>
      </bottom>
      <diagonal/>
    </border>
    <border>
      <left style="thick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ck">
        <color rgb="FF000000"/>
      </right>
      <top style="dotted">
        <color rgb="FF000000"/>
      </top>
      <bottom style="dotted">
        <color rgb="FF000000"/>
      </bottom>
      <diagonal/>
    </border>
    <border>
      <left style="thick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dotted">
        <color rgb="FF000000"/>
      </top>
      <bottom style="thin">
        <color rgb="FF000000"/>
      </bottom>
      <diagonal/>
    </border>
    <border>
      <left style="thick">
        <color rgb="FF000000"/>
      </left>
      <right/>
      <top style="dotted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dotted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2">
    <xf numFmtId="0" fontId="0" fillId="0" borderId="0"/>
    <xf numFmtId="43" fontId="21" fillId="0" borderId="0" applyFont="0" applyFill="0" applyBorder="0" applyAlignment="0" applyProtection="0"/>
  </cellStyleXfs>
  <cellXfs count="41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14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/>
    </xf>
    <xf numFmtId="0" fontId="5" fillId="0" borderId="2" xfId="0" quotePrefix="1" applyFont="1" applyBorder="1" applyAlignment="1">
      <alignment horizontal="center" vertical="center"/>
    </xf>
    <xf numFmtId="164" fontId="5" fillId="0" borderId="2" xfId="0" applyNumberFormat="1" applyFont="1" applyBorder="1" applyAlignment="1">
      <alignment vertical="center"/>
    </xf>
    <xf numFmtId="165" fontId="5" fillId="0" borderId="2" xfId="0" applyNumberFormat="1" applyFont="1" applyBorder="1" applyAlignment="1">
      <alignment vertical="center"/>
    </xf>
    <xf numFmtId="166" fontId="6" fillId="0" borderId="2" xfId="0" applyNumberFormat="1" applyFont="1" applyBorder="1" applyAlignment="1">
      <alignment vertical="center"/>
    </xf>
    <xf numFmtId="167" fontId="6" fillId="0" borderId="2" xfId="0" applyNumberFormat="1" applyFont="1" applyBorder="1" applyAlignment="1">
      <alignment vertical="center"/>
    </xf>
    <xf numFmtId="0" fontId="5" fillId="0" borderId="2" xfId="0" applyFont="1" applyBorder="1" applyAlignment="1">
      <alignment horizontal="center" vertical="center" wrapText="1"/>
    </xf>
    <xf numFmtId="14" fontId="5" fillId="0" borderId="2" xfId="0" applyNumberFormat="1" applyFont="1" applyBorder="1" applyAlignment="1">
      <alignment vertical="center"/>
    </xf>
    <xf numFmtId="168" fontId="5" fillId="0" borderId="2" xfId="0" applyNumberFormat="1" applyFont="1" applyBorder="1" applyAlignment="1">
      <alignment vertical="center"/>
    </xf>
    <xf numFmtId="169" fontId="5" fillId="0" borderId="2" xfId="0" applyNumberFormat="1" applyFont="1" applyBorder="1" applyAlignment="1">
      <alignment vertical="center"/>
    </xf>
    <xf numFmtId="170" fontId="5" fillId="0" borderId="2" xfId="0" applyNumberFormat="1" applyFont="1" applyBorder="1" applyAlignment="1">
      <alignment vertical="center"/>
    </xf>
    <xf numFmtId="168" fontId="5" fillId="0" borderId="3" xfId="0" applyNumberFormat="1" applyFont="1" applyBorder="1" applyAlignment="1">
      <alignment vertical="center"/>
    </xf>
    <xf numFmtId="171" fontId="6" fillId="0" borderId="2" xfId="0" applyNumberFormat="1" applyFont="1" applyBorder="1" applyAlignment="1">
      <alignment vertical="center"/>
    </xf>
    <xf numFmtId="0" fontId="5" fillId="0" borderId="0" xfId="0" applyFont="1" applyAlignment="1">
      <alignment vertical="center"/>
    </xf>
    <xf numFmtId="14" fontId="5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0" fontId="5" fillId="0" borderId="4" xfId="0" quotePrefix="1" applyFont="1" applyBorder="1" applyAlignment="1">
      <alignment horizontal="center" vertical="center"/>
    </xf>
    <xf numFmtId="164" fontId="5" fillId="0" borderId="4" xfId="0" applyNumberFormat="1" applyFont="1" applyBorder="1" applyAlignment="1">
      <alignment vertical="center"/>
    </xf>
    <xf numFmtId="165" fontId="5" fillId="0" borderId="4" xfId="0" applyNumberFormat="1" applyFont="1" applyBorder="1" applyAlignment="1">
      <alignment vertical="center"/>
    </xf>
    <xf numFmtId="166" fontId="6" fillId="0" borderId="4" xfId="0" applyNumberFormat="1" applyFont="1" applyBorder="1" applyAlignment="1">
      <alignment vertical="center"/>
    </xf>
    <xf numFmtId="167" fontId="6" fillId="0" borderId="4" xfId="0" applyNumberFormat="1" applyFont="1" applyBorder="1" applyAlignment="1">
      <alignment vertical="center"/>
    </xf>
    <xf numFmtId="0" fontId="5" fillId="0" borderId="4" xfId="0" applyFont="1" applyBorder="1" applyAlignment="1">
      <alignment horizontal="center" vertical="center" wrapText="1"/>
    </xf>
    <xf numFmtId="14" fontId="5" fillId="0" borderId="4" xfId="0" applyNumberFormat="1" applyFont="1" applyBorder="1" applyAlignment="1">
      <alignment vertical="center"/>
    </xf>
    <xf numFmtId="168" fontId="5" fillId="0" borderId="4" xfId="0" applyNumberFormat="1" applyFont="1" applyBorder="1" applyAlignment="1">
      <alignment vertical="center"/>
    </xf>
    <xf numFmtId="169" fontId="5" fillId="0" borderId="4" xfId="0" applyNumberFormat="1" applyFont="1" applyBorder="1" applyAlignment="1">
      <alignment vertical="center"/>
    </xf>
    <xf numFmtId="170" fontId="5" fillId="0" borderId="4" xfId="0" applyNumberFormat="1" applyFont="1" applyBorder="1" applyAlignment="1">
      <alignment vertical="center"/>
    </xf>
    <xf numFmtId="168" fontId="5" fillId="0" borderId="5" xfId="0" applyNumberFormat="1" applyFont="1" applyBorder="1" applyAlignment="1">
      <alignment vertical="center"/>
    </xf>
    <xf numFmtId="171" fontId="6" fillId="0" borderId="4" xfId="0" applyNumberFormat="1" applyFont="1" applyBorder="1" applyAlignment="1">
      <alignment vertical="center"/>
    </xf>
    <xf numFmtId="172" fontId="6" fillId="0" borderId="4" xfId="0" applyNumberFormat="1" applyFont="1" applyBorder="1" applyAlignment="1">
      <alignment vertical="center"/>
    </xf>
    <xf numFmtId="14" fontId="5" fillId="0" borderId="6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vertical="center" wrapText="1"/>
    </xf>
    <xf numFmtId="0" fontId="5" fillId="0" borderId="6" xfId="0" applyFont="1" applyBorder="1" applyAlignment="1">
      <alignment horizontal="center" vertical="center"/>
    </xf>
    <xf numFmtId="0" fontId="5" fillId="0" borderId="6" xfId="0" quotePrefix="1" applyFont="1" applyBorder="1" applyAlignment="1">
      <alignment horizontal="center" vertical="center"/>
    </xf>
    <xf numFmtId="164" fontId="5" fillId="0" borderId="6" xfId="0" applyNumberFormat="1" applyFont="1" applyBorder="1" applyAlignment="1">
      <alignment vertical="center"/>
    </xf>
    <xf numFmtId="165" fontId="5" fillId="0" borderId="6" xfId="0" applyNumberFormat="1" applyFont="1" applyBorder="1" applyAlignment="1">
      <alignment vertical="center"/>
    </xf>
    <xf numFmtId="166" fontId="6" fillId="0" borderId="6" xfId="0" applyNumberFormat="1" applyFont="1" applyBorder="1" applyAlignment="1">
      <alignment vertical="center"/>
    </xf>
    <xf numFmtId="167" fontId="6" fillId="0" borderId="6" xfId="0" applyNumberFormat="1" applyFont="1" applyBorder="1" applyAlignment="1">
      <alignment vertical="center"/>
    </xf>
    <xf numFmtId="0" fontId="5" fillId="0" borderId="6" xfId="0" applyFont="1" applyBorder="1" applyAlignment="1">
      <alignment horizontal="center" vertical="center" wrapText="1"/>
    </xf>
    <xf numFmtId="14" fontId="5" fillId="0" borderId="6" xfId="0" applyNumberFormat="1" applyFont="1" applyBorder="1" applyAlignment="1">
      <alignment vertical="center"/>
    </xf>
    <xf numFmtId="168" fontId="5" fillId="0" borderId="6" xfId="0" applyNumberFormat="1" applyFont="1" applyBorder="1" applyAlignment="1">
      <alignment vertical="center"/>
    </xf>
    <xf numFmtId="169" fontId="5" fillId="0" borderId="6" xfId="0" applyNumberFormat="1" applyFont="1" applyBorder="1" applyAlignment="1">
      <alignment vertical="center"/>
    </xf>
    <xf numFmtId="170" fontId="5" fillId="0" borderId="6" xfId="0" applyNumberFormat="1" applyFont="1" applyBorder="1" applyAlignment="1">
      <alignment vertical="center"/>
    </xf>
    <xf numFmtId="168" fontId="5" fillId="0" borderId="7" xfId="0" applyNumberFormat="1" applyFont="1" applyBorder="1" applyAlignment="1">
      <alignment vertical="center"/>
    </xf>
    <xf numFmtId="171" fontId="6" fillId="0" borderId="6" xfId="0" applyNumberFormat="1" applyFont="1" applyBorder="1" applyAlignment="1">
      <alignment vertical="center"/>
    </xf>
    <xf numFmtId="172" fontId="6" fillId="0" borderId="6" xfId="0" applyNumberFormat="1" applyFont="1" applyBorder="1" applyAlignment="1">
      <alignment vertical="center"/>
    </xf>
    <xf numFmtId="14" fontId="5" fillId="6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vertical="center" wrapText="1"/>
    </xf>
    <xf numFmtId="0" fontId="5" fillId="6" borderId="1" xfId="0" applyFont="1" applyFill="1" applyBorder="1" applyAlignment="1">
      <alignment horizontal="center" vertical="center"/>
    </xf>
    <xf numFmtId="0" fontId="5" fillId="6" borderId="1" xfId="0" quotePrefix="1" applyFont="1" applyFill="1" applyBorder="1" applyAlignment="1">
      <alignment horizontal="center" vertical="center"/>
    </xf>
    <xf numFmtId="164" fontId="5" fillId="6" borderId="1" xfId="0" applyNumberFormat="1" applyFont="1" applyFill="1" applyBorder="1" applyAlignment="1">
      <alignment vertical="center"/>
    </xf>
    <xf numFmtId="165" fontId="5" fillId="6" borderId="1" xfId="0" applyNumberFormat="1" applyFont="1" applyFill="1" applyBorder="1" applyAlignment="1">
      <alignment vertical="center"/>
    </xf>
    <xf numFmtId="166" fontId="6" fillId="0" borderId="1" xfId="0" applyNumberFormat="1" applyFont="1" applyBorder="1" applyAlignment="1">
      <alignment vertical="center"/>
    </xf>
    <xf numFmtId="167" fontId="6" fillId="0" borderId="1" xfId="0" applyNumberFormat="1" applyFont="1" applyBorder="1" applyAlignment="1">
      <alignment vertical="center"/>
    </xf>
    <xf numFmtId="0" fontId="5" fillId="6" borderId="1" xfId="0" quotePrefix="1" applyFont="1" applyFill="1" applyBorder="1" applyAlignment="1">
      <alignment horizontal="center" vertical="center" wrapText="1"/>
    </xf>
    <xf numFmtId="14" fontId="5" fillId="6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>
      <alignment horizontal="center" vertical="center" wrapText="1"/>
    </xf>
    <xf numFmtId="14" fontId="5" fillId="6" borderId="1" xfId="0" quotePrefix="1" applyNumberFormat="1" applyFont="1" applyFill="1" applyBorder="1" applyAlignment="1">
      <alignment horizontal="center" vertical="center" wrapText="1"/>
    </xf>
    <xf numFmtId="168" fontId="5" fillId="6" borderId="1" xfId="0" applyNumberFormat="1" applyFont="1" applyFill="1" applyBorder="1" applyAlignment="1">
      <alignment vertical="center"/>
    </xf>
    <xf numFmtId="169" fontId="5" fillId="6" borderId="1" xfId="0" applyNumberFormat="1" applyFont="1" applyFill="1" applyBorder="1" applyAlignment="1">
      <alignment vertical="center"/>
    </xf>
    <xf numFmtId="170" fontId="5" fillId="6" borderId="1" xfId="0" applyNumberFormat="1" applyFont="1" applyFill="1" applyBorder="1" applyAlignment="1">
      <alignment vertical="center"/>
    </xf>
    <xf numFmtId="171" fontId="5" fillId="6" borderId="1" xfId="0" applyNumberFormat="1" applyFont="1" applyFill="1" applyBorder="1" applyAlignment="1">
      <alignment vertical="center"/>
    </xf>
    <xf numFmtId="171" fontId="6" fillId="0" borderId="8" xfId="0" applyNumberFormat="1" applyFont="1" applyBorder="1" applyAlignment="1">
      <alignment vertical="center"/>
    </xf>
    <xf numFmtId="172" fontId="6" fillId="0" borderId="8" xfId="0" applyNumberFormat="1" applyFont="1" applyBorder="1" applyAlignment="1">
      <alignment vertical="center"/>
    </xf>
    <xf numFmtId="14" fontId="5" fillId="0" borderId="8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vertical="center" wrapText="1"/>
    </xf>
    <xf numFmtId="0" fontId="5" fillId="0" borderId="8" xfId="0" applyFont="1" applyBorder="1" applyAlignment="1">
      <alignment horizontal="center" vertical="center"/>
    </xf>
    <xf numFmtId="164" fontId="5" fillId="0" borderId="8" xfId="0" applyNumberFormat="1" applyFont="1" applyBorder="1" applyAlignment="1">
      <alignment vertical="center"/>
    </xf>
    <xf numFmtId="173" fontId="5" fillId="0" borderId="8" xfId="0" applyNumberFormat="1" applyFont="1" applyBorder="1" applyAlignment="1">
      <alignment vertical="center"/>
    </xf>
    <xf numFmtId="166" fontId="6" fillId="0" borderId="8" xfId="0" applyNumberFormat="1" applyFont="1" applyBorder="1" applyAlignment="1">
      <alignment vertical="center"/>
    </xf>
    <xf numFmtId="167" fontId="6" fillId="0" borderId="8" xfId="0" applyNumberFormat="1" applyFont="1" applyBorder="1" applyAlignment="1">
      <alignment vertical="center"/>
    </xf>
    <xf numFmtId="0" fontId="5" fillId="0" borderId="8" xfId="0" applyFont="1" applyBorder="1" applyAlignment="1">
      <alignment horizontal="center" vertical="center" wrapText="1"/>
    </xf>
    <xf numFmtId="14" fontId="5" fillId="0" borderId="8" xfId="0" applyNumberFormat="1" applyFont="1" applyBorder="1" applyAlignment="1">
      <alignment vertical="center"/>
    </xf>
    <xf numFmtId="14" fontId="5" fillId="0" borderId="8" xfId="0" applyNumberFormat="1" applyFont="1" applyBorder="1" applyAlignment="1">
      <alignment horizontal="center" vertical="center" wrapText="1"/>
    </xf>
    <xf numFmtId="168" fontId="5" fillId="0" borderId="8" xfId="0" applyNumberFormat="1" applyFont="1" applyBorder="1" applyAlignment="1">
      <alignment vertical="center"/>
    </xf>
    <xf numFmtId="169" fontId="5" fillId="0" borderId="8" xfId="0" applyNumberFormat="1" applyFont="1" applyBorder="1" applyAlignment="1">
      <alignment vertical="center"/>
    </xf>
    <xf numFmtId="170" fontId="5" fillId="0" borderId="8" xfId="0" applyNumberFormat="1" applyFont="1" applyBorder="1" applyAlignment="1">
      <alignment vertical="center"/>
    </xf>
    <xf numFmtId="171" fontId="5" fillId="0" borderId="8" xfId="0" applyNumberFormat="1" applyFont="1" applyBorder="1" applyAlignment="1">
      <alignment vertical="center"/>
    </xf>
    <xf numFmtId="165" fontId="5" fillId="0" borderId="8" xfId="0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 wrapText="1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8" fillId="5" borderId="9" xfId="0" applyFont="1" applyFill="1" applyBorder="1"/>
    <xf numFmtId="0" fontId="8" fillId="5" borderId="10" xfId="0" applyFont="1" applyFill="1" applyBorder="1"/>
    <xf numFmtId="0" fontId="2" fillId="5" borderId="10" xfId="0" applyFont="1" applyFill="1" applyBorder="1" applyAlignment="1">
      <alignment vertical="center"/>
    </xf>
    <xf numFmtId="0" fontId="8" fillId="5" borderId="11" xfId="0" applyFont="1" applyFill="1" applyBorder="1"/>
    <xf numFmtId="0" fontId="4" fillId="2" borderId="1" xfId="0" applyFont="1" applyFill="1" applyBorder="1" applyAlignment="1">
      <alignment horizontal="center" vertical="top" wrapText="1"/>
    </xf>
    <xf numFmtId="0" fontId="4" fillId="2" borderId="8" xfId="0" applyFont="1" applyFill="1" applyBorder="1" applyAlignment="1">
      <alignment horizontal="center" vertical="top"/>
    </xf>
    <xf numFmtId="0" fontId="10" fillId="2" borderId="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/>
    </xf>
    <xf numFmtId="0" fontId="4" fillId="2" borderId="16" xfId="0" applyFont="1" applyFill="1" applyBorder="1" applyAlignment="1">
      <alignment horizontal="center" vertical="top" wrapText="1"/>
    </xf>
    <xf numFmtId="0" fontId="10" fillId="5" borderId="17" xfId="0" applyFont="1" applyFill="1" applyBorder="1" applyAlignment="1">
      <alignment horizontal="center" vertical="top" wrapText="1"/>
    </xf>
    <xf numFmtId="0" fontId="4" fillId="5" borderId="1" xfId="0" applyFont="1" applyFill="1" applyBorder="1" applyAlignment="1">
      <alignment horizontal="center" vertical="top" wrapText="1"/>
    </xf>
    <xf numFmtId="0" fontId="4" fillId="5" borderId="18" xfId="0" applyFont="1" applyFill="1" applyBorder="1" applyAlignment="1">
      <alignment horizontal="center" vertical="top" wrapText="1"/>
    </xf>
    <xf numFmtId="0" fontId="4" fillId="5" borderId="16" xfId="0" applyFont="1" applyFill="1" applyBorder="1" applyAlignment="1">
      <alignment horizontal="center" vertical="top" wrapText="1"/>
    </xf>
    <xf numFmtId="0" fontId="4" fillId="5" borderId="19" xfId="0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center" vertical="top" wrapText="1"/>
    </xf>
    <xf numFmtId="0" fontId="4" fillId="4" borderId="16" xfId="0" applyFont="1" applyFill="1" applyBorder="1" applyAlignment="1">
      <alignment horizontal="center" vertical="top"/>
    </xf>
    <xf numFmtId="0" fontId="4" fillId="3" borderId="20" xfId="0" applyFont="1" applyFill="1" applyBorder="1" applyAlignment="1">
      <alignment horizontal="center" vertical="top" wrapText="1"/>
    </xf>
    <xf numFmtId="0" fontId="4" fillId="3" borderId="1" xfId="0" applyFont="1" applyFill="1" applyBorder="1" applyAlignment="1">
      <alignment horizontal="center" vertical="top" wrapText="1"/>
    </xf>
    <xf numFmtId="0" fontId="4" fillId="3" borderId="16" xfId="0" applyFont="1" applyFill="1" applyBorder="1" applyAlignment="1">
      <alignment horizontal="center" vertical="top" wrapText="1"/>
    </xf>
    <xf numFmtId="0" fontId="4" fillId="3" borderId="19" xfId="0" applyFont="1" applyFill="1" applyBorder="1" applyAlignment="1">
      <alignment horizontal="center" vertical="top" wrapText="1"/>
    </xf>
    <xf numFmtId="0" fontId="4" fillId="2" borderId="21" xfId="0" applyFont="1" applyFill="1" applyBorder="1" applyAlignment="1">
      <alignment horizontal="center" vertical="top" wrapText="1"/>
    </xf>
    <xf numFmtId="0" fontId="5" fillId="0" borderId="2" xfId="0" applyFont="1" applyBorder="1" applyAlignment="1">
      <alignment horizontal="right" vertical="center" wrapText="1"/>
    </xf>
    <xf numFmtId="174" fontId="5" fillId="0" borderId="2" xfId="0" applyNumberFormat="1" applyFont="1" applyBorder="1" applyAlignment="1">
      <alignment vertical="center"/>
    </xf>
    <xf numFmtId="174" fontId="5" fillId="0" borderId="3" xfId="0" applyNumberFormat="1" applyFont="1" applyBorder="1" applyAlignment="1">
      <alignment horizontal="center" vertical="center"/>
    </xf>
    <xf numFmtId="175" fontId="5" fillId="0" borderId="22" xfId="0" applyNumberFormat="1" applyFont="1" applyBorder="1" applyAlignment="1">
      <alignment vertical="center"/>
    </xf>
    <xf numFmtId="175" fontId="5" fillId="0" borderId="2" xfId="0" applyNumberFormat="1" applyFont="1" applyBorder="1" applyAlignment="1">
      <alignment vertical="center"/>
    </xf>
    <xf numFmtId="175" fontId="5" fillId="0" borderId="23" xfId="0" applyNumberFormat="1" applyFont="1" applyBorder="1" applyAlignment="1">
      <alignment vertical="center"/>
    </xf>
    <xf numFmtId="175" fontId="5" fillId="0" borderId="3" xfId="0" applyNumberFormat="1" applyFont="1" applyBorder="1" applyAlignment="1">
      <alignment vertical="center"/>
    </xf>
    <xf numFmtId="175" fontId="5" fillId="0" borderId="24" xfId="0" applyNumberFormat="1" applyFont="1" applyBorder="1" applyAlignment="1">
      <alignment vertical="center"/>
    </xf>
    <xf numFmtId="170" fontId="5" fillId="0" borderId="3" xfId="0" applyNumberFormat="1" applyFont="1" applyBorder="1" applyAlignment="1">
      <alignment vertical="center"/>
    </xf>
    <xf numFmtId="175" fontId="5" fillId="0" borderId="25" xfId="0" applyNumberFormat="1" applyFont="1" applyBorder="1" applyAlignment="1">
      <alignment vertical="center"/>
    </xf>
    <xf numFmtId="176" fontId="4" fillId="4" borderId="26" xfId="0" applyNumberFormat="1" applyFont="1" applyFill="1" applyBorder="1" applyAlignment="1">
      <alignment vertical="center"/>
    </xf>
    <xf numFmtId="167" fontId="5" fillId="0" borderId="2" xfId="0" applyNumberFormat="1" applyFont="1" applyBorder="1" applyAlignment="1">
      <alignment vertical="center"/>
    </xf>
    <xf numFmtId="167" fontId="4" fillId="0" borderId="2" xfId="0" applyNumberFormat="1" applyFont="1" applyBorder="1" applyAlignment="1">
      <alignment vertical="center"/>
    </xf>
    <xf numFmtId="167" fontId="10" fillId="0" borderId="8" xfId="0" applyNumberFormat="1" applyFont="1" applyBorder="1" applyAlignment="1">
      <alignment vertical="center"/>
    </xf>
    <xf numFmtId="0" fontId="5" fillId="0" borderId="4" xfId="0" applyFont="1" applyBorder="1" applyAlignment="1">
      <alignment horizontal="right" vertical="center" wrapText="1"/>
    </xf>
    <xf numFmtId="174" fontId="5" fillId="0" borderId="4" xfId="0" applyNumberFormat="1" applyFont="1" applyBorder="1" applyAlignment="1">
      <alignment vertical="center"/>
    </xf>
    <xf numFmtId="174" fontId="5" fillId="0" borderId="5" xfId="0" applyNumberFormat="1" applyFont="1" applyBorder="1" applyAlignment="1">
      <alignment horizontal="center" vertical="center"/>
    </xf>
    <xf numFmtId="175" fontId="5" fillId="0" borderId="27" xfId="0" applyNumberFormat="1" applyFont="1" applyBorder="1" applyAlignment="1">
      <alignment vertical="center"/>
    </xf>
    <xf numFmtId="175" fontId="5" fillId="0" borderId="4" xfId="0" applyNumberFormat="1" applyFont="1" applyBorder="1" applyAlignment="1">
      <alignment vertical="center"/>
    </xf>
    <xf numFmtId="175" fontId="5" fillId="0" borderId="28" xfId="0" applyNumberFormat="1" applyFont="1" applyBorder="1" applyAlignment="1">
      <alignment vertical="center"/>
    </xf>
    <xf numFmtId="175" fontId="5" fillId="0" borderId="5" xfId="0" applyNumberFormat="1" applyFont="1" applyBorder="1" applyAlignment="1">
      <alignment vertical="center"/>
    </xf>
    <xf numFmtId="175" fontId="5" fillId="0" borderId="29" xfId="0" applyNumberFormat="1" applyFont="1" applyBorder="1" applyAlignment="1">
      <alignment vertical="center"/>
    </xf>
    <xf numFmtId="175" fontId="5" fillId="0" borderId="30" xfId="0" applyNumberFormat="1" applyFont="1" applyBorder="1" applyAlignment="1">
      <alignment vertical="center"/>
    </xf>
    <xf numFmtId="176" fontId="4" fillId="4" borderId="31" xfId="0" applyNumberFormat="1" applyFont="1" applyFill="1" applyBorder="1" applyAlignment="1">
      <alignment vertical="center"/>
    </xf>
    <xf numFmtId="167" fontId="5" fillId="0" borderId="4" xfId="0" applyNumberFormat="1" applyFont="1" applyBorder="1" applyAlignment="1">
      <alignment vertical="center"/>
    </xf>
    <xf numFmtId="167" fontId="4" fillId="0" borderId="4" xfId="0" applyNumberFormat="1" applyFont="1" applyBorder="1" applyAlignment="1">
      <alignment vertical="center"/>
    </xf>
    <xf numFmtId="0" fontId="5" fillId="0" borderId="6" xfId="0" applyFont="1" applyBorder="1" applyAlignment="1">
      <alignment horizontal="right" vertical="center" wrapText="1"/>
    </xf>
    <xf numFmtId="174" fontId="5" fillId="0" borderId="6" xfId="0" applyNumberFormat="1" applyFont="1" applyBorder="1" applyAlignment="1">
      <alignment vertical="center"/>
    </xf>
    <xf numFmtId="174" fontId="5" fillId="0" borderId="7" xfId="0" applyNumberFormat="1" applyFont="1" applyBorder="1" applyAlignment="1">
      <alignment horizontal="center" vertical="center"/>
    </xf>
    <xf numFmtId="175" fontId="5" fillId="0" borderId="32" xfId="0" applyNumberFormat="1" applyFont="1" applyBorder="1" applyAlignment="1">
      <alignment vertical="center"/>
    </xf>
    <xf numFmtId="175" fontId="5" fillId="0" borderId="6" xfId="0" applyNumberFormat="1" applyFont="1" applyBorder="1" applyAlignment="1">
      <alignment vertical="center"/>
    </xf>
    <xf numFmtId="175" fontId="5" fillId="0" borderId="33" xfId="0" applyNumberFormat="1" applyFont="1" applyBorder="1" applyAlignment="1">
      <alignment vertical="center"/>
    </xf>
    <xf numFmtId="175" fontId="5" fillId="0" borderId="7" xfId="0" applyNumberFormat="1" applyFont="1" applyBorder="1" applyAlignment="1">
      <alignment vertical="center"/>
    </xf>
    <xf numFmtId="175" fontId="5" fillId="0" borderId="34" xfId="0" applyNumberFormat="1" applyFont="1" applyBorder="1" applyAlignment="1">
      <alignment vertical="center"/>
    </xf>
    <xf numFmtId="175" fontId="5" fillId="0" borderId="35" xfId="0" applyNumberFormat="1" applyFont="1" applyBorder="1" applyAlignment="1">
      <alignment vertical="center"/>
    </xf>
    <xf numFmtId="176" fontId="4" fillId="4" borderId="36" xfId="0" applyNumberFormat="1" applyFont="1" applyFill="1" applyBorder="1" applyAlignment="1">
      <alignment vertical="center"/>
    </xf>
    <xf numFmtId="167" fontId="5" fillId="0" borderId="6" xfId="0" applyNumberFormat="1" applyFont="1" applyBorder="1" applyAlignment="1">
      <alignment vertical="center"/>
    </xf>
    <xf numFmtId="167" fontId="4" fillId="0" borderId="6" xfId="0" applyNumberFormat="1" applyFont="1" applyBorder="1" applyAlignment="1">
      <alignment vertical="center"/>
    </xf>
    <xf numFmtId="14" fontId="5" fillId="6" borderId="8" xfId="0" applyNumberFormat="1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right" vertical="center" wrapText="1"/>
    </xf>
    <xf numFmtId="14" fontId="5" fillId="6" borderId="8" xfId="0" applyNumberFormat="1" applyFont="1" applyFill="1" applyBorder="1" applyAlignment="1">
      <alignment horizontal="center" vertical="center" wrapText="1"/>
    </xf>
    <xf numFmtId="174" fontId="5" fillId="6" borderId="8" xfId="0" applyNumberFormat="1" applyFont="1" applyFill="1" applyBorder="1" applyAlignment="1">
      <alignment vertical="center"/>
    </xf>
    <xf numFmtId="169" fontId="5" fillId="6" borderId="8" xfId="0" applyNumberFormat="1" applyFont="1" applyFill="1" applyBorder="1" applyAlignment="1">
      <alignment vertical="center"/>
    </xf>
    <xf numFmtId="0" fontId="5" fillId="6" borderId="8" xfId="0" applyFont="1" applyFill="1" applyBorder="1" applyAlignment="1">
      <alignment vertical="center" wrapText="1"/>
    </xf>
    <xf numFmtId="0" fontId="5" fillId="6" borderId="8" xfId="0" applyFont="1" applyFill="1" applyBorder="1" applyAlignment="1">
      <alignment horizontal="center" vertical="center"/>
    </xf>
    <xf numFmtId="0" fontId="5" fillId="6" borderId="37" xfId="0" applyFont="1" applyFill="1" applyBorder="1" applyAlignment="1">
      <alignment horizontal="left" vertical="center" wrapText="1"/>
    </xf>
    <xf numFmtId="0" fontId="5" fillId="6" borderId="37" xfId="0" applyFont="1" applyFill="1" applyBorder="1" applyAlignment="1">
      <alignment horizontal="center" vertical="center"/>
    </xf>
    <xf numFmtId="177" fontId="5" fillId="6" borderId="38" xfId="0" applyNumberFormat="1" applyFont="1" applyFill="1" applyBorder="1" applyAlignment="1">
      <alignment vertical="center"/>
    </xf>
    <xf numFmtId="177" fontId="5" fillId="6" borderId="8" xfId="0" applyNumberFormat="1" applyFont="1" applyFill="1" applyBorder="1" applyAlignment="1">
      <alignment vertical="center"/>
    </xf>
    <xf numFmtId="177" fontId="5" fillId="6" borderId="39" xfId="0" applyNumberFormat="1" applyFont="1" applyFill="1" applyBorder="1" applyAlignment="1">
      <alignment vertical="center"/>
    </xf>
    <xf numFmtId="177" fontId="5" fillId="6" borderId="37" xfId="0" applyNumberFormat="1" applyFont="1" applyFill="1" applyBorder="1" applyAlignment="1">
      <alignment vertical="center"/>
    </xf>
    <xf numFmtId="175" fontId="5" fillId="6" borderId="39" xfId="0" applyNumberFormat="1" applyFont="1" applyFill="1" applyBorder="1" applyAlignment="1">
      <alignment vertical="center"/>
    </xf>
    <xf numFmtId="175" fontId="5" fillId="6" borderId="8" xfId="0" applyNumberFormat="1" applyFont="1" applyFill="1" applyBorder="1" applyAlignment="1">
      <alignment vertical="center"/>
    </xf>
    <xf numFmtId="175" fontId="5" fillId="6" borderId="40" xfId="0" applyNumberFormat="1" applyFont="1" applyFill="1" applyBorder="1" applyAlignment="1">
      <alignment vertical="center"/>
    </xf>
    <xf numFmtId="178" fontId="5" fillId="6" borderId="8" xfId="0" applyNumberFormat="1" applyFont="1" applyFill="1" applyBorder="1" applyAlignment="1">
      <alignment vertical="center"/>
    </xf>
    <xf numFmtId="178" fontId="5" fillId="6" borderId="37" xfId="0" applyNumberFormat="1" applyFont="1" applyFill="1" applyBorder="1" applyAlignment="1">
      <alignment vertical="center"/>
    </xf>
    <xf numFmtId="175" fontId="5" fillId="6" borderId="20" xfId="0" applyNumberFormat="1" applyFont="1" applyFill="1" applyBorder="1" applyAlignment="1">
      <alignment vertical="center"/>
    </xf>
    <xf numFmtId="175" fontId="5" fillId="6" borderId="37" xfId="0" applyNumberFormat="1" applyFont="1" applyFill="1" applyBorder="1" applyAlignment="1">
      <alignment vertical="center"/>
    </xf>
    <xf numFmtId="176" fontId="4" fillId="4" borderId="10" xfId="0" applyNumberFormat="1" applyFont="1" applyFill="1" applyBorder="1" applyAlignment="1">
      <alignment vertical="center"/>
    </xf>
    <xf numFmtId="167" fontId="5" fillId="6" borderId="8" xfId="0" applyNumberFormat="1" applyFont="1" applyFill="1" applyBorder="1" applyAlignment="1">
      <alignment vertical="center"/>
    </xf>
    <xf numFmtId="167" fontId="4" fillId="6" borderId="8" xfId="0" applyNumberFormat="1" applyFont="1" applyFill="1" applyBorder="1" applyAlignment="1">
      <alignment vertical="center"/>
    </xf>
    <xf numFmtId="0" fontId="5" fillId="0" borderId="3" xfId="0" applyFont="1" applyBorder="1" applyAlignment="1">
      <alignment horizontal="left" vertical="center" wrapText="1"/>
    </xf>
    <xf numFmtId="178" fontId="5" fillId="0" borderId="3" xfId="0" applyNumberFormat="1" applyFont="1" applyBorder="1" applyAlignment="1">
      <alignment vertical="center"/>
    </xf>
    <xf numFmtId="0" fontId="5" fillId="0" borderId="5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176" fontId="4" fillId="4" borderId="41" xfId="0" applyNumberFormat="1" applyFont="1" applyFill="1" applyBorder="1" applyAlignment="1">
      <alignment vertical="center"/>
    </xf>
    <xf numFmtId="167" fontId="4" fillId="0" borderId="0" xfId="0" applyNumberFormat="1" applyFont="1" applyAlignment="1">
      <alignment vertical="center"/>
    </xf>
    <xf numFmtId="0" fontId="11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 wrapText="1"/>
    </xf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4" fillId="7" borderId="16" xfId="0" applyFont="1" applyFill="1" applyBorder="1" applyAlignment="1">
      <alignment horizontal="center" vertical="center"/>
    </xf>
    <xf numFmtId="0" fontId="4" fillId="7" borderId="42" xfId="0" applyFont="1" applyFill="1" applyBorder="1" applyAlignment="1">
      <alignment horizontal="center" vertical="center"/>
    </xf>
    <xf numFmtId="0" fontId="4" fillId="7" borderId="43" xfId="0" applyFont="1" applyFill="1" applyBorder="1" applyAlignment="1">
      <alignment horizontal="center" vertical="top"/>
    </xf>
    <xf numFmtId="0" fontId="4" fillId="7" borderId="43" xfId="0" applyFont="1" applyFill="1" applyBorder="1" applyAlignment="1">
      <alignment horizontal="center" vertical="top" wrapText="1"/>
    </xf>
    <xf numFmtId="0" fontId="12" fillId="7" borderId="43" xfId="0" applyFont="1" applyFill="1" applyBorder="1" applyAlignment="1">
      <alignment horizontal="center" vertical="center" wrapText="1"/>
    </xf>
    <xf numFmtId="0" fontId="10" fillId="8" borderId="43" xfId="0" applyFont="1" applyFill="1" applyBorder="1" applyAlignment="1">
      <alignment horizontal="center" vertical="center" wrapText="1"/>
    </xf>
    <xf numFmtId="0" fontId="4" fillId="7" borderId="43" xfId="0" applyFont="1" applyFill="1" applyBorder="1" applyAlignment="1">
      <alignment horizontal="center" vertical="center" wrapText="1"/>
    </xf>
    <xf numFmtId="0" fontId="4" fillId="7" borderId="44" xfId="0" applyFont="1" applyFill="1" applyBorder="1" applyAlignment="1">
      <alignment horizontal="center" vertical="top"/>
    </xf>
    <xf numFmtId="0" fontId="4" fillId="7" borderId="45" xfId="0" applyFont="1" applyFill="1" applyBorder="1" applyAlignment="1">
      <alignment horizontal="center" vertical="top"/>
    </xf>
    <xf numFmtId="0" fontId="5" fillId="3" borderId="8" xfId="0" applyFont="1" applyFill="1" applyBorder="1" applyAlignment="1">
      <alignment vertical="center" wrapText="1"/>
    </xf>
    <xf numFmtId="0" fontId="5" fillId="3" borderId="43" xfId="0" applyFont="1" applyFill="1" applyBorder="1" applyAlignment="1">
      <alignment horizontal="center" vertical="center"/>
    </xf>
    <xf numFmtId="0" fontId="5" fillId="3" borderId="8" xfId="0" quotePrefix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5" fillId="3" borderId="8" xfId="0" applyFont="1" applyFill="1" applyBorder="1" applyAlignment="1">
      <alignment horizontal="center" vertical="center"/>
    </xf>
    <xf numFmtId="164" fontId="5" fillId="3" borderId="8" xfId="0" applyNumberFormat="1" applyFont="1" applyFill="1" applyBorder="1" applyAlignment="1">
      <alignment vertical="center"/>
    </xf>
    <xf numFmtId="165" fontId="5" fillId="3" borderId="8" xfId="0" applyNumberFormat="1" applyFont="1" applyFill="1" applyBorder="1" applyAlignment="1">
      <alignment vertical="center"/>
    </xf>
    <xf numFmtId="167" fontId="5" fillId="3" borderId="8" xfId="0" applyNumberFormat="1" applyFont="1" applyFill="1" applyBorder="1" applyAlignment="1">
      <alignment vertical="center"/>
    </xf>
    <xf numFmtId="14" fontId="5" fillId="3" borderId="8" xfId="0" applyNumberFormat="1" applyFont="1" applyFill="1" applyBorder="1" applyAlignment="1">
      <alignment vertical="center"/>
    </xf>
    <xf numFmtId="0" fontId="5" fillId="3" borderId="8" xfId="0" applyFont="1" applyFill="1" applyBorder="1" applyAlignment="1">
      <alignment horizontal="center" vertical="center" wrapText="1"/>
    </xf>
    <xf numFmtId="14" fontId="5" fillId="3" borderId="8" xfId="0" applyNumberFormat="1" applyFont="1" applyFill="1" applyBorder="1" applyAlignment="1">
      <alignment horizontal="center" vertical="center"/>
    </xf>
    <xf numFmtId="14" fontId="11" fillId="0" borderId="8" xfId="0" applyNumberFormat="1" applyFont="1" applyBorder="1" applyAlignment="1">
      <alignment horizontal="center" vertical="center" wrapText="1"/>
    </xf>
    <xf numFmtId="14" fontId="5" fillId="3" borderId="8" xfId="0" quotePrefix="1" applyNumberFormat="1" applyFont="1" applyFill="1" applyBorder="1" applyAlignment="1">
      <alignment horizontal="left" vertical="center"/>
    </xf>
    <xf numFmtId="0" fontId="5" fillId="3" borderId="37" xfId="0" applyFont="1" applyFill="1" applyBorder="1" applyAlignment="1">
      <alignment vertical="center" wrapText="1"/>
    </xf>
    <xf numFmtId="167" fontId="5" fillId="3" borderId="46" xfId="0" applyNumberFormat="1" applyFont="1" applyFill="1" applyBorder="1" applyAlignment="1">
      <alignment vertical="center" wrapText="1"/>
    </xf>
    <xf numFmtId="167" fontId="5" fillId="3" borderId="8" xfId="0" applyNumberFormat="1" applyFont="1" applyFill="1" applyBorder="1" applyAlignment="1">
      <alignment vertical="center" wrapText="1"/>
    </xf>
    <xf numFmtId="165" fontId="5" fillId="3" borderId="8" xfId="0" applyNumberFormat="1" applyFont="1" applyFill="1" applyBorder="1" applyAlignment="1">
      <alignment vertical="center" wrapText="1"/>
    </xf>
    <xf numFmtId="172" fontId="5" fillId="3" borderId="8" xfId="0" applyNumberFormat="1" applyFont="1" applyFill="1" applyBorder="1" applyAlignment="1">
      <alignment vertical="center" wrapText="1"/>
    </xf>
    <xf numFmtId="0" fontId="5" fillId="0" borderId="47" xfId="0" applyFont="1" applyBorder="1" applyAlignment="1">
      <alignment horizontal="center" vertical="center"/>
    </xf>
    <xf numFmtId="0" fontId="5" fillId="0" borderId="8" xfId="0" quotePrefix="1" applyFont="1" applyBorder="1" applyAlignment="1">
      <alignment horizontal="center" vertical="center"/>
    </xf>
    <xf numFmtId="167" fontId="5" fillId="0" borderId="8" xfId="0" applyNumberFormat="1" applyFont="1" applyBorder="1" applyAlignment="1">
      <alignment vertical="center"/>
    </xf>
    <xf numFmtId="14" fontId="5" fillId="0" borderId="8" xfId="0" quotePrefix="1" applyNumberFormat="1" applyFont="1" applyBorder="1" applyAlignment="1">
      <alignment horizontal="left" vertical="center"/>
    </xf>
    <xf numFmtId="0" fontId="5" fillId="0" borderId="12" xfId="0" applyFont="1" applyBorder="1" applyAlignment="1">
      <alignment vertical="center" wrapText="1"/>
    </xf>
    <xf numFmtId="167" fontId="5" fillId="0" borderId="46" xfId="0" applyNumberFormat="1" applyFont="1" applyBorder="1" applyAlignment="1">
      <alignment vertical="center" wrapText="1"/>
    </xf>
    <xf numFmtId="167" fontId="5" fillId="0" borderId="8" xfId="0" applyNumberFormat="1" applyFont="1" applyBorder="1" applyAlignment="1">
      <alignment vertical="center" wrapText="1"/>
    </xf>
    <xf numFmtId="165" fontId="5" fillId="0" borderId="8" xfId="0" applyNumberFormat="1" applyFont="1" applyBorder="1" applyAlignment="1">
      <alignment vertical="center" wrapText="1"/>
    </xf>
    <xf numFmtId="172" fontId="5" fillId="0" borderId="8" xfId="0" applyNumberFormat="1" applyFont="1" applyBorder="1" applyAlignment="1">
      <alignment vertical="center" wrapText="1"/>
    </xf>
    <xf numFmtId="0" fontId="5" fillId="0" borderId="47" xfId="0" applyFont="1" applyBorder="1" applyAlignment="1">
      <alignment vertical="center" wrapText="1"/>
    </xf>
    <xf numFmtId="0" fontId="5" fillId="0" borderId="8" xfId="0" applyFont="1" applyBorder="1" applyAlignment="1">
      <alignment horizontal="left" vertical="center" wrapText="1"/>
    </xf>
    <xf numFmtId="164" fontId="5" fillId="0" borderId="47" xfId="0" applyNumberFormat="1" applyFont="1" applyBorder="1" applyAlignment="1">
      <alignment vertical="center"/>
    </xf>
    <xf numFmtId="165" fontId="5" fillId="0" borderId="47" xfId="0" applyNumberFormat="1" applyFont="1" applyBorder="1" applyAlignment="1">
      <alignment vertical="center"/>
    </xf>
    <xf numFmtId="167" fontId="5" fillId="0" borderId="47" xfId="0" applyNumberFormat="1" applyFont="1" applyBorder="1" applyAlignment="1">
      <alignment vertical="center"/>
    </xf>
    <xf numFmtId="0" fontId="5" fillId="0" borderId="47" xfId="0" applyFont="1" applyBorder="1" applyAlignment="1">
      <alignment vertical="center"/>
    </xf>
    <xf numFmtId="14" fontId="5" fillId="0" borderId="47" xfId="0" applyNumberFormat="1" applyFont="1" applyBorder="1" applyAlignment="1">
      <alignment vertical="center"/>
    </xf>
    <xf numFmtId="0" fontId="5" fillId="0" borderId="47" xfId="0" applyFont="1" applyBorder="1" applyAlignment="1">
      <alignment horizontal="center" vertical="center" wrapText="1"/>
    </xf>
    <xf numFmtId="14" fontId="5" fillId="0" borderId="47" xfId="0" applyNumberFormat="1" applyFont="1" applyBorder="1" applyAlignment="1">
      <alignment horizontal="center" vertical="center" wrapText="1"/>
    </xf>
    <xf numFmtId="14" fontId="5" fillId="0" borderId="47" xfId="0" applyNumberFormat="1" applyFont="1" applyBorder="1" applyAlignment="1">
      <alignment horizontal="center" vertical="center"/>
    </xf>
    <xf numFmtId="0" fontId="5" fillId="0" borderId="47" xfId="0" applyFont="1" applyBorder="1" applyAlignment="1">
      <alignment horizontal="left" vertical="center" wrapText="1"/>
    </xf>
    <xf numFmtId="0" fontId="5" fillId="0" borderId="48" xfId="0" applyFont="1" applyBorder="1" applyAlignment="1">
      <alignment vertical="center" wrapText="1"/>
    </xf>
    <xf numFmtId="167" fontId="5" fillId="0" borderId="49" xfId="0" applyNumberFormat="1" applyFont="1" applyBorder="1" applyAlignment="1">
      <alignment vertical="center" wrapText="1"/>
    </xf>
    <xf numFmtId="167" fontId="5" fillId="0" borderId="47" xfId="0" applyNumberFormat="1" applyFont="1" applyBorder="1" applyAlignment="1">
      <alignment vertical="center" wrapText="1"/>
    </xf>
    <xf numFmtId="165" fontId="5" fillId="0" borderId="47" xfId="0" applyNumberFormat="1" applyFont="1" applyBorder="1" applyAlignment="1">
      <alignment vertical="center" wrapText="1"/>
    </xf>
    <xf numFmtId="172" fontId="5" fillId="0" borderId="47" xfId="0" applyNumberFormat="1" applyFont="1" applyBorder="1" applyAlignment="1">
      <alignment vertical="center" wrapText="1"/>
    </xf>
    <xf numFmtId="14" fontId="11" fillId="0" borderId="47" xfId="0" applyNumberFormat="1" applyFont="1" applyBorder="1" applyAlignment="1">
      <alignment horizontal="center" vertical="center" wrapText="1"/>
    </xf>
    <xf numFmtId="3" fontId="5" fillId="0" borderId="0" xfId="0" applyNumberFormat="1" applyFont="1" applyAlignment="1">
      <alignment vertical="center"/>
    </xf>
    <xf numFmtId="179" fontId="5" fillId="0" borderId="0" xfId="0" applyNumberFormat="1" applyFont="1" applyAlignment="1">
      <alignment vertical="center"/>
    </xf>
    <xf numFmtId="2" fontId="5" fillId="0" borderId="0" xfId="0" applyNumberFormat="1" applyFont="1" applyAlignment="1">
      <alignment vertical="center"/>
    </xf>
    <xf numFmtId="0" fontId="13" fillId="0" borderId="0" xfId="0" applyFont="1" applyAlignment="1">
      <alignment vertical="center"/>
    </xf>
    <xf numFmtId="0" fontId="8" fillId="0" borderId="58" xfId="0" applyFont="1" applyBorder="1"/>
    <xf numFmtId="0" fontId="5" fillId="0" borderId="58" xfId="0" applyFont="1" applyBorder="1" applyAlignment="1">
      <alignment vertical="center"/>
    </xf>
    <xf numFmtId="0" fontId="4" fillId="7" borderId="1" xfId="0" applyFont="1" applyFill="1" applyBorder="1" applyAlignment="1">
      <alignment horizontal="center" vertical="top"/>
    </xf>
    <xf numFmtId="0" fontId="4" fillId="7" borderId="8" xfId="0" applyFont="1" applyFill="1" applyBorder="1" applyAlignment="1">
      <alignment horizontal="center" vertical="top"/>
    </xf>
    <xf numFmtId="0" fontId="4" fillId="7" borderId="1" xfId="0" applyFont="1" applyFill="1" applyBorder="1" applyAlignment="1">
      <alignment horizontal="center" vertical="top" wrapText="1"/>
    </xf>
    <xf numFmtId="0" fontId="4" fillId="7" borderId="16" xfId="0" applyFont="1" applyFill="1" applyBorder="1" applyAlignment="1">
      <alignment horizontal="center" vertical="top" wrapText="1"/>
    </xf>
    <xf numFmtId="0" fontId="4" fillId="9" borderId="17" xfId="0" applyFont="1" applyFill="1" applyBorder="1" applyAlignment="1">
      <alignment horizontal="center" vertical="top" wrapText="1"/>
    </xf>
    <xf numFmtId="0" fontId="4" fillId="9" borderId="1" xfId="0" applyFont="1" applyFill="1" applyBorder="1" applyAlignment="1">
      <alignment horizontal="center" vertical="top" wrapText="1"/>
    </xf>
    <xf numFmtId="0" fontId="4" fillId="9" borderId="19" xfId="0" applyFont="1" applyFill="1" applyBorder="1" applyAlignment="1">
      <alignment horizontal="center" vertical="top" wrapText="1"/>
    </xf>
    <xf numFmtId="0" fontId="4" fillId="7" borderId="21" xfId="0" applyFont="1" applyFill="1" applyBorder="1" applyAlignment="1">
      <alignment horizontal="center" vertical="top" wrapText="1"/>
    </xf>
    <xf numFmtId="0" fontId="4" fillId="2" borderId="46" xfId="0" applyFont="1" applyFill="1" applyBorder="1" applyAlignment="1">
      <alignment horizontal="center" vertical="top" wrapText="1"/>
    </xf>
    <xf numFmtId="0" fontId="14" fillId="2" borderId="39" xfId="0" applyFont="1" applyFill="1" applyBorder="1" applyAlignment="1">
      <alignment horizontal="center" vertical="top" wrapText="1"/>
    </xf>
    <xf numFmtId="0" fontId="14" fillId="2" borderId="8" xfId="0" applyFont="1" applyFill="1" applyBorder="1" applyAlignment="1">
      <alignment horizontal="center" vertical="top" wrapText="1"/>
    </xf>
    <xf numFmtId="0" fontId="4" fillId="2" borderId="8" xfId="0" applyFont="1" applyFill="1" applyBorder="1" applyAlignment="1">
      <alignment horizontal="center" vertical="top" wrapText="1"/>
    </xf>
    <xf numFmtId="0" fontId="4" fillId="2" borderId="59" xfId="0" applyFont="1" applyFill="1" applyBorder="1" applyAlignment="1">
      <alignment horizontal="center" vertical="top" wrapText="1"/>
    </xf>
    <xf numFmtId="0" fontId="4" fillId="5" borderId="42" xfId="0" applyFont="1" applyFill="1" applyBorder="1" applyAlignment="1">
      <alignment horizontal="center" vertical="top" wrapText="1"/>
    </xf>
    <xf numFmtId="0" fontId="4" fillId="5" borderId="60" xfId="0" applyFont="1" applyFill="1" applyBorder="1" applyAlignment="1">
      <alignment horizontal="center" vertical="top"/>
    </xf>
    <xf numFmtId="0" fontId="4" fillId="11" borderId="18" xfId="0" applyFont="1" applyFill="1" applyBorder="1" applyAlignment="1">
      <alignment horizontal="center" vertical="top" wrapText="1"/>
    </xf>
    <xf numFmtId="0" fontId="4" fillId="11" borderId="1" xfId="0" applyFont="1" applyFill="1" applyBorder="1" applyAlignment="1">
      <alignment horizontal="center" vertical="top" wrapText="1"/>
    </xf>
    <xf numFmtId="0" fontId="14" fillId="11" borderId="16" xfId="0" applyFont="1" applyFill="1" applyBorder="1" applyAlignment="1">
      <alignment horizontal="center" vertical="top" wrapText="1"/>
    </xf>
    <xf numFmtId="0" fontId="4" fillId="11" borderId="16" xfId="0" applyFont="1" applyFill="1" applyBorder="1" applyAlignment="1">
      <alignment horizontal="center" vertical="top" wrapText="1"/>
    </xf>
    <xf numFmtId="0" fontId="4" fillId="11" borderId="42" xfId="0" applyFont="1" applyFill="1" applyBorder="1" applyAlignment="1">
      <alignment horizontal="center" vertical="top" wrapText="1"/>
    </xf>
    <xf numFmtId="0" fontId="4" fillId="11" borderId="60" xfId="0" applyFont="1" applyFill="1" applyBorder="1" applyAlignment="1">
      <alignment horizontal="center" vertical="top" wrapText="1"/>
    </xf>
    <xf numFmtId="0" fontId="4" fillId="9" borderId="18" xfId="0" applyFont="1" applyFill="1" applyBorder="1" applyAlignment="1">
      <alignment horizontal="center" vertical="top" wrapText="1"/>
    </xf>
    <xf numFmtId="174" fontId="5" fillId="3" borderId="8" xfId="0" applyNumberFormat="1" applyFont="1" applyFill="1" applyBorder="1" applyAlignment="1">
      <alignment vertical="center"/>
    </xf>
    <xf numFmtId="169" fontId="5" fillId="3" borderId="8" xfId="0" applyNumberFormat="1" applyFont="1" applyFill="1" applyBorder="1" applyAlignment="1">
      <alignment vertical="center"/>
    </xf>
    <xf numFmtId="0" fontId="5" fillId="3" borderId="37" xfId="0" applyFont="1" applyFill="1" applyBorder="1" applyAlignment="1">
      <alignment horizontal="left" vertical="center" wrapText="1"/>
    </xf>
    <xf numFmtId="174" fontId="5" fillId="3" borderId="37" xfId="0" applyNumberFormat="1" applyFont="1" applyFill="1" applyBorder="1" applyAlignment="1">
      <alignment vertical="center"/>
    </xf>
    <xf numFmtId="9" fontId="5" fillId="3" borderId="61" xfId="0" applyNumberFormat="1" applyFont="1" applyFill="1" applyBorder="1" applyAlignment="1">
      <alignment horizontal="center" vertical="center"/>
    </xf>
    <xf numFmtId="9" fontId="5" fillId="3" borderId="8" xfId="0" applyNumberFormat="1" applyFont="1" applyFill="1" applyBorder="1" applyAlignment="1">
      <alignment horizontal="center" vertical="center"/>
    </xf>
    <xf numFmtId="167" fontId="5" fillId="3" borderId="40" xfId="0" applyNumberFormat="1" applyFont="1" applyFill="1" applyBorder="1" applyAlignment="1">
      <alignment vertical="center"/>
    </xf>
    <xf numFmtId="167" fontId="5" fillId="3" borderId="39" xfId="0" applyNumberFormat="1" applyFont="1" applyFill="1" applyBorder="1" applyAlignment="1">
      <alignment vertical="center"/>
    </xf>
    <xf numFmtId="167" fontId="5" fillId="3" borderId="37" xfId="0" applyNumberFormat="1" applyFont="1" applyFill="1" applyBorder="1" applyAlignment="1">
      <alignment vertical="center"/>
    </xf>
    <xf numFmtId="175" fontId="5" fillId="3" borderId="46" xfId="0" applyNumberFormat="1" applyFont="1" applyFill="1" applyBorder="1" applyAlignment="1">
      <alignment vertical="center"/>
    </xf>
    <xf numFmtId="175" fontId="5" fillId="3" borderId="37" xfId="0" applyNumberFormat="1" applyFont="1" applyFill="1" applyBorder="1" applyAlignment="1">
      <alignment vertical="center"/>
    </xf>
    <xf numFmtId="175" fontId="5" fillId="3" borderId="8" xfId="0" applyNumberFormat="1" applyFont="1" applyFill="1" applyBorder="1" applyAlignment="1">
      <alignment vertical="center"/>
    </xf>
    <xf numFmtId="175" fontId="5" fillId="3" borderId="39" xfId="0" applyNumberFormat="1" applyFont="1" applyFill="1" applyBorder="1" applyAlignment="1">
      <alignment vertical="center"/>
    </xf>
    <xf numFmtId="175" fontId="5" fillId="3" borderId="59" xfId="0" applyNumberFormat="1" applyFont="1" applyFill="1" applyBorder="1" applyAlignment="1">
      <alignment vertical="center"/>
    </xf>
    <xf numFmtId="178" fontId="5" fillId="3" borderId="46" xfId="0" applyNumberFormat="1" applyFont="1" applyFill="1" applyBorder="1" applyAlignment="1">
      <alignment vertical="center"/>
    </xf>
    <xf numFmtId="180" fontId="5" fillId="3" borderId="59" xfId="0" applyNumberFormat="1" applyFont="1" applyFill="1" applyBorder="1" applyAlignment="1">
      <alignment vertical="center"/>
    </xf>
    <xf numFmtId="175" fontId="5" fillId="3" borderId="1" xfId="0" applyNumberFormat="1" applyFont="1" applyFill="1" applyBorder="1" applyAlignment="1">
      <alignment vertical="center"/>
    </xf>
    <xf numFmtId="167" fontId="5" fillId="3" borderId="10" xfId="0" applyNumberFormat="1" applyFont="1" applyFill="1" applyBorder="1" applyAlignment="1">
      <alignment vertical="center"/>
    </xf>
    <xf numFmtId="176" fontId="4" fillId="3" borderId="46" xfId="0" applyNumberFormat="1" applyFont="1" applyFill="1" applyBorder="1" applyAlignment="1">
      <alignment vertical="center"/>
    </xf>
    <xf numFmtId="167" fontId="5" fillId="3" borderId="59" xfId="0" applyNumberFormat="1" applyFont="1" applyFill="1" applyBorder="1" applyAlignment="1">
      <alignment vertical="center"/>
    </xf>
    <xf numFmtId="167" fontId="4" fillId="3" borderId="61" xfId="0" applyNumberFormat="1" applyFont="1" applyFill="1" applyBorder="1" applyAlignment="1">
      <alignment vertical="center"/>
    </xf>
    <xf numFmtId="167" fontId="4" fillId="3" borderId="39" xfId="0" applyNumberFormat="1" applyFont="1" applyFill="1" applyBorder="1" applyAlignment="1">
      <alignment vertical="center"/>
    </xf>
    <xf numFmtId="174" fontId="5" fillId="0" borderId="8" xfId="0" applyNumberFormat="1" applyFont="1" applyBorder="1" applyAlignment="1">
      <alignment vertical="center"/>
    </xf>
    <xf numFmtId="0" fontId="5" fillId="0" borderId="12" xfId="0" applyFont="1" applyBorder="1" applyAlignment="1">
      <alignment horizontal="left" vertical="center" wrapText="1"/>
    </xf>
    <xf numFmtId="174" fontId="5" fillId="0" borderId="12" xfId="0" applyNumberFormat="1" applyFont="1" applyBorder="1" applyAlignment="1">
      <alignment vertical="center"/>
    </xf>
    <xf numFmtId="9" fontId="5" fillId="0" borderId="61" xfId="0" applyNumberFormat="1" applyFont="1" applyBorder="1" applyAlignment="1">
      <alignment horizontal="center" vertical="center"/>
    </xf>
    <xf numFmtId="9" fontId="5" fillId="0" borderId="8" xfId="0" applyNumberFormat="1" applyFont="1" applyBorder="1" applyAlignment="1">
      <alignment horizontal="center" vertical="center"/>
    </xf>
    <xf numFmtId="167" fontId="5" fillId="0" borderId="40" xfId="0" applyNumberFormat="1" applyFont="1" applyBorder="1" applyAlignment="1">
      <alignment vertical="center"/>
    </xf>
    <xf numFmtId="167" fontId="5" fillId="0" borderId="50" xfId="0" applyNumberFormat="1" applyFont="1" applyBorder="1" applyAlignment="1">
      <alignment vertical="center"/>
    </xf>
    <xf numFmtId="167" fontId="5" fillId="0" borderId="12" xfId="0" applyNumberFormat="1" applyFont="1" applyBorder="1" applyAlignment="1">
      <alignment vertical="center"/>
    </xf>
    <xf numFmtId="175" fontId="5" fillId="0" borderId="46" xfId="0" applyNumberFormat="1" applyFont="1" applyBorder="1" applyAlignment="1">
      <alignment vertical="center"/>
    </xf>
    <xf numFmtId="175" fontId="5" fillId="0" borderId="12" xfId="0" applyNumberFormat="1" applyFont="1" applyBorder="1" applyAlignment="1">
      <alignment vertical="center"/>
    </xf>
    <xf numFmtId="175" fontId="5" fillId="0" borderId="8" xfId="0" applyNumberFormat="1" applyFont="1" applyBorder="1" applyAlignment="1">
      <alignment vertical="center"/>
    </xf>
    <xf numFmtId="175" fontId="5" fillId="0" borderId="50" xfId="0" applyNumberFormat="1" applyFont="1" applyBorder="1" applyAlignment="1">
      <alignment vertical="center"/>
    </xf>
    <xf numFmtId="175" fontId="5" fillId="0" borderId="59" xfId="0" applyNumberFormat="1" applyFont="1" applyBorder="1" applyAlignment="1">
      <alignment vertical="center"/>
    </xf>
    <xf numFmtId="178" fontId="5" fillId="0" borderId="46" xfId="0" applyNumberFormat="1" applyFont="1" applyBorder="1" applyAlignment="1">
      <alignment vertical="center"/>
    </xf>
    <xf numFmtId="180" fontId="5" fillId="0" borderId="59" xfId="0" applyNumberFormat="1" applyFont="1" applyBorder="1" applyAlignment="1">
      <alignment vertical="center"/>
    </xf>
    <xf numFmtId="167" fontId="5" fillId="0" borderId="15" xfId="0" applyNumberFormat="1" applyFont="1" applyBorder="1" applyAlignment="1">
      <alignment vertical="center"/>
    </xf>
    <xf numFmtId="176" fontId="4" fillId="0" borderId="46" xfId="0" applyNumberFormat="1" applyFont="1" applyBorder="1" applyAlignment="1">
      <alignment vertical="center"/>
    </xf>
    <xf numFmtId="167" fontId="5" fillId="0" borderId="59" xfId="0" applyNumberFormat="1" applyFont="1" applyBorder="1" applyAlignment="1">
      <alignment vertical="center"/>
    </xf>
    <xf numFmtId="167" fontId="4" fillId="0" borderId="61" xfId="0" applyNumberFormat="1" applyFont="1" applyBorder="1" applyAlignment="1">
      <alignment vertical="center"/>
    </xf>
    <xf numFmtId="167" fontId="4" fillId="0" borderId="50" xfId="0" applyNumberFormat="1" applyFont="1" applyBorder="1" applyAlignment="1">
      <alignment vertical="center"/>
    </xf>
    <xf numFmtId="49" fontId="5" fillId="0" borderId="7" xfId="0" applyNumberFormat="1" applyFont="1" applyBorder="1" applyAlignment="1">
      <alignment vertical="center"/>
    </xf>
    <xf numFmtId="9" fontId="5" fillId="0" borderId="41" xfId="0" applyNumberFormat="1" applyFont="1" applyBorder="1" applyAlignment="1">
      <alignment horizontal="center" vertical="center"/>
    </xf>
    <xf numFmtId="9" fontId="5" fillId="0" borderId="6" xfId="0" applyNumberFormat="1" applyFont="1" applyBorder="1" applyAlignment="1">
      <alignment horizontal="center" vertical="center"/>
    </xf>
    <xf numFmtId="167" fontId="5" fillId="0" borderId="34" xfId="0" applyNumberFormat="1" applyFont="1" applyBorder="1" applyAlignment="1">
      <alignment vertical="center"/>
    </xf>
    <xf numFmtId="167" fontId="5" fillId="0" borderId="33" xfId="0" applyNumberFormat="1" applyFont="1" applyBorder="1" applyAlignment="1">
      <alignment vertical="center"/>
    </xf>
    <xf numFmtId="167" fontId="5" fillId="0" borderId="7" xfId="0" applyNumberFormat="1" applyFont="1" applyBorder="1" applyAlignment="1">
      <alignment vertical="center"/>
    </xf>
    <xf numFmtId="175" fontId="5" fillId="0" borderId="62" xfId="0" applyNumberFormat="1" applyFont="1" applyBorder="1" applyAlignment="1">
      <alignment vertical="center"/>
    </xf>
    <xf numFmtId="175" fontId="5" fillId="0" borderId="63" xfId="0" applyNumberFormat="1" applyFont="1" applyBorder="1" applyAlignment="1">
      <alignment vertical="center"/>
    </xf>
    <xf numFmtId="178" fontId="5" fillId="0" borderId="62" xfId="0" applyNumberFormat="1" applyFont="1" applyBorder="1" applyAlignment="1">
      <alignment vertical="center"/>
    </xf>
    <xf numFmtId="180" fontId="5" fillId="0" borderId="63" xfId="0" applyNumberFormat="1" applyFont="1" applyBorder="1" applyAlignment="1">
      <alignment vertical="center"/>
    </xf>
    <xf numFmtId="175" fontId="5" fillId="0" borderId="47" xfId="0" applyNumberFormat="1" applyFont="1" applyBorder="1" applyAlignment="1">
      <alignment vertical="center"/>
    </xf>
    <xf numFmtId="167" fontId="4" fillId="0" borderId="62" xfId="0" applyNumberFormat="1" applyFont="1" applyBorder="1" applyAlignment="1">
      <alignment vertical="center"/>
    </xf>
    <xf numFmtId="167" fontId="5" fillId="0" borderId="63" xfId="0" applyNumberFormat="1" applyFont="1" applyBorder="1" applyAlignment="1">
      <alignment vertical="center"/>
    </xf>
    <xf numFmtId="167" fontId="5" fillId="0" borderId="64" xfId="0" applyNumberFormat="1" applyFont="1" applyBorder="1" applyAlignment="1">
      <alignment vertical="center"/>
    </xf>
    <xf numFmtId="167" fontId="4" fillId="0" borderId="41" xfId="0" applyNumberFormat="1" applyFont="1" applyBorder="1" applyAlignment="1">
      <alignment vertical="center"/>
    </xf>
    <xf numFmtId="167" fontId="4" fillId="0" borderId="33" xfId="0" applyNumberFormat="1" applyFont="1" applyBorder="1" applyAlignment="1">
      <alignment vertical="center"/>
    </xf>
    <xf numFmtId="49" fontId="5" fillId="0" borderId="12" xfId="0" applyNumberFormat="1" applyFont="1" applyBorder="1" applyAlignment="1">
      <alignment vertical="center"/>
    </xf>
    <xf numFmtId="175" fontId="4" fillId="0" borderId="46" xfId="0" applyNumberFormat="1" applyFont="1" applyBorder="1" applyAlignment="1">
      <alignment vertical="center"/>
    </xf>
    <xf numFmtId="176" fontId="5" fillId="0" borderId="0" xfId="0" applyNumberFormat="1" applyFont="1" applyAlignment="1">
      <alignment vertical="center" wrapText="1"/>
    </xf>
    <xf numFmtId="176" fontId="4" fillId="0" borderId="0" xfId="0" applyNumberFormat="1" applyFont="1" applyAlignment="1">
      <alignment vertical="center"/>
    </xf>
    <xf numFmtId="176" fontId="5" fillId="0" borderId="0" xfId="0" applyNumberFormat="1" applyFont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15" fillId="0" borderId="65" xfId="0" applyFont="1" applyBorder="1" applyAlignment="1">
      <alignment horizontal="left" vertical="center"/>
    </xf>
    <xf numFmtId="0" fontId="15" fillId="0" borderId="47" xfId="0" applyFont="1" applyBorder="1" applyAlignment="1">
      <alignment horizontal="left" vertical="center"/>
    </xf>
    <xf numFmtId="0" fontId="15" fillId="0" borderId="47" xfId="0" applyFont="1" applyBorder="1" applyAlignment="1">
      <alignment horizontal="left" vertical="center" wrapText="1"/>
    </xf>
    <xf numFmtId="0" fontId="15" fillId="0" borderId="48" xfId="0" applyFont="1" applyBorder="1" applyAlignment="1">
      <alignment horizontal="left" vertical="center" wrapText="1"/>
    </xf>
    <xf numFmtId="0" fontId="16" fillId="0" borderId="50" xfId="0" applyFont="1" applyBorder="1" applyAlignment="1">
      <alignment vertical="center" wrapText="1"/>
    </xf>
    <xf numFmtId="0" fontId="16" fillId="0" borderId="8" xfId="0" applyFont="1" applyBorder="1" applyAlignment="1">
      <alignment horizontal="center" vertical="center"/>
    </xf>
    <xf numFmtId="0" fontId="16" fillId="0" borderId="8" xfId="0" applyFont="1" applyBorder="1" applyAlignment="1">
      <alignment horizontal="right" vertical="center"/>
    </xf>
    <xf numFmtId="0" fontId="16" fillId="0" borderId="8" xfId="0" applyFont="1" applyBorder="1" applyAlignment="1">
      <alignment vertical="center" wrapText="1"/>
    </xf>
    <xf numFmtId="14" fontId="16" fillId="0" borderId="8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center" vertical="center" wrapText="1"/>
    </xf>
    <xf numFmtId="14" fontId="16" fillId="2" borderId="37" xfId="0" applyNumberFormat="1" applyFont="1" applyFill="1" applyBorder="1" applyAlignment="1">
      <alignment horizontal="center" vertical="center"/>
    </xf>
    <xf numFmtId="0" fontId="16" fillId="0" borderId="8" xfId="0" quotePrefix="1" applyFont="1" applyBorder="1" applyAlignment="1">
      <alignment horizontal="left" vertical="center"/>
    </xf>
    <xf numFmtId="14" fontId="16" fillId="5" borderId="37" xfId="0" applyNumberFormat="1" applyFont="1" applyFill="1" applyBorder="1" applyAlignment="1">
      <alignment horizontal="center" vertical="center"/>
    </xf>
    <xf numFmtId="14" fontId="17" fillId="0" borderId="12" xfId="0" applyNumberFormat="1" applyFont="1" applyBorder="1" applyAlignment="1">
      <alignment horizontal="center" vertical="center"/>
    </xf>
    <xf numFmtId="167" fontId="16" fillId="0" borderId="12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left" vertical="center" wrapText="1"/>
    </xf>
    <xf numFmtId="14" fontId="16" fillId="12" borderId="37" xfId="0" applyNumberFormat="1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8" xfId="0" applyFont="1" applyBorder="1" applyAlignment="1">
      <alignment horizontal="left" vertical="center" wrapText="1"/>
    </xf>
    <xf numFmtId="0" fontId="17" fillId="0" borderId="12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18" fillId="0" borderId="0" xfId="0" applyFont="1"/>
    <xf numFmtId="0" fontId="8" fillId="0" borderId="8" xfId="0" applyFont="1" applyBorder="1"/>
    <xf numFmtId="0" fontId="4" fillId="9" borderId="17" xfId="0" applyFont="1" applyFill="1" applyBorder="1" applyAlignment="1">
      <alignment horizontal="center" vertical="center" wrapText="1"/>
    </xf>
    <xf numFmtId="0" fontId="4" fillId="9" borderId="18" xfId="0" applyFont="1" applyFill="1" applyBorder="1" applyAlignment="1">
      <alignment horizontal="center" vertical="center" wrapText="1"/>
    </xf>
    <xf numFmtId="0" fontId="0" fillId="0" borderId="0" xfId="0" quotePrefix="1"/>
    <xf numFmtId="0" fontId="0" fillId="13" borderId="0" xfId="0" applyFill="1"/>
    <xf numFmtId="14" fontId="8" fillId="0" borderId="8" xfId="0" applyNumberFormat="1" applyFont="1" applyBorder="1"/>
    <xf numFmtId="167" fontId="5" fillId="0" borderId="1" xfId="0" applyNumberFormat="1" applyFont="1" applyBorder="1" applyAlignment="1">
      <alignment vertical="center"/>
    </xf>
    <xf numFmtId="167" fontId="5" fillId="0" borderId="66" xfId="0" applyNumberFormat="1" applyFont="1" applyBorder="1" applyAlignment="1">
      <alignment vertical="center"/>
    </xf>
    <xf numFmtId="0" fontId="20" fillId="2" borderId="1" xfId="0" applyFont="1" applyFill="1" applyBorder="1" applyAlignment="1">
      <alignment horizontal="center" vertical="top" wrapText="1"/>
    </xf>
    <xf numFmtId="14" fontId="0" fillId="0" borderId="0" xfId="0" applyNumberFormat="1"/>
    <xf numFmtId="172" fontId="5" fillId="0" borderId="2" xfId="0" applyNumberFormat="1" applyFont="1" applyBorder="1" applyAlignment="1">
      <alignment vertical="center"/>
    </xf>
    <xf numFmtId="181" fontId="8" fillId="0" borderId="8" xfId="1" applyNumberFormat="1" applyFont="1" applyBorder="1"/>
    <xf numFmtId="181" fontId="8" fillId="0" borderId="8" xfId="0" applyNumberFormat="1" applyFont="1" applyBorder="1"/>
    <xf numFmtId="182" fontId="0" fillId="0" borderId="0" xfId="0" applyNumberFormat="1"/>
    <xf numFmtId="182" fontId="18" fillId="13" borderId="0" xfId="0" applyNumberFormat="1" applyFont="1" applyFill="1"/>
    <xf numFmtId="182" fontId="4" fillId="2" borderId="1" xfId="0" applyNumberFormat="1" applyFont="1" applyFill="1" applyBorder="1" applyAlignment="1">
      <alignment horizontal="center" vertical="center" wrapText="1"/>
    </xf>
    <xf numFmtId="182" fontId="8" fillId="0" borderId="8" xfId="0" applyNumberFormat="1" applyFont="1" applyBorder="1"/>
    <xf numFmtId="182" fontId="19" fillId="7" borderId="1" xfId="0" applyNumberFormat="1" applyFont="1" applyFill="1" applyBorder="1" applyAlignment="1">
      <alignment horizontal="center" vertical="center" wrapText="1"/>
    </xf>
    <xf numFmtId="0" fontId="22" fillId="0" borderId="0" xfId="0" applyFont="1"/>
    <xf numFmtId="0" fontId="22" fillId="13" borderId="0" xfId="0" applyFont="1" applyFill="1"/>
    <xf numFmtId="0" fontId="23" fillId="0" borderId="0" xfId="0" applyFont="1"/>
    <xf numFmtId="0" fontId="23" fillId="13" borderId="0" xfId="0" quotePrefix="1" applyFont="1" applyFill="1"/>
    <xf numFmtId="14" fontId="18" fillId="0" borderId="0" xfId="0" applyNumberFormat="1" applyFont="1"/>
    <xf numFmtId="14" fontId="4" fillId="7" borderId="1" xfId="0" applyNumberFormat="1" applyFont="1" applyFill="1" applyBorder="1" applyAlignment="1">
      <alignment horizontal="center" vertical="center" wrapText="1"/>
    </xf>
    <xf numFmtId="14" fontId="24" fillId="3" borderId="8" xfId="0" applyNumberFormat="1" applyFont="1" applyFill="1" applyBorder="1" applyAlignment="1">
      <alignment horizontal="center" vertical="center"/>
    </xf>
    <xf numFmtId="14" fontId="7" fillId="0" borderId="0" xfId="0" applyNumberFormat="1" applyFont="1" applyAlignment="1">
      <alignment vertical="center"/>
    </xf>
    <xf numFmtId="0" fontId="2" fillId="3" borderId="14" xfId="0" applyFont="1" applyFill="1" applyBorder="1" applyAlignment="1">
      <alignment horizontal="center" vertical="center"/>
    </xf>
    <xf numFmtId="0" fontId="9" fillId="0" borderId="15" xfId="0" applyFont="1" applyBorder="1"/>
    <xf numFmtId="0" fontId="9" fillId="0" borderId="13" xfId="0" applyFont="1" applyBorder="1"/>
    <xf numFmtId="0" fontId="2" fillId="4" borderId="12" xfId="0" applyFont="1" applyFill="1" applyBorder="1" applyAlignment="1">
      <alignment horizontal="center" vertical="center"/>
    </xf>
    <xf numFmtId="0" fontId="7" fillId="11" borderId="52" xfId="0" applyFont="1" applyFill="1" applyBorder="1" applyAlignment="1">
      <alignment horizontal="center" vertical="center"/>
    </xf>
    <xf numFmtId="0" fontId="9" fillId="0" borderId="53" xfId="0" applyFont="1" applyBorder="1"/>
    <xf numFmtId="0" fontId="9" fillId="0" borderId="57" xfId="0" applyFont="1" applyBorder="1"/>
    <xf numFmtId="0" fontId="2" fillId="5" borderId="55" xfId="0" applyFont="1" applyFill="1" applyBorder="1" applyAlignment="1">
      <alignment horizontal="center" vertical="center"/>
    </xf>
    <xf numFmtId="0" fontId="9" fillId="0" borderId="56" xfId="0" applyFont="1" applyBorder="1"/>
    <xf numFmtId="0" fontId="2" fillId="9" borderId="14" xfId="0" applyFont="1" applyFill="1" applyBorder="1" applyAlignment="1">
      <alignment horizontal="center" vertical="center"/>
    </xf>
    <xf numFmtId="0" fontId="9" fillId="0" borderId="50" xfId="0" applyFont="1" applyBorder="1"/>
    <xf numFmtId="0" fontId="4" fillId="9" borderId="12" xfId="0" applyFont="1" applyFill="1" applyBorder="1" applyAlignment="1">
      <alignment horizontal="center" vertical="center"/>
    </xf>
    <xf numFmtId="0" fontId="9" fillId="0" borderId="51" xfId="0" applyFont="1" applyBorder="1"/>
    <xf numFmtId="0" fontId="4" fillId="10" borderId="12" xfId="0" applyFont="1" applyFill="1" applyBorder="1" applyAlignment="1">
      <alignment horizontal="center" vertical="top"/>
    </xf>
    <xf numFmtId="0" fontId="2" fillId="10" borderId="12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center" vertical="center"/>
    </xf>
    <xf numFmtId="0" fontId="9" fillId="0" borderId="54" xfId="0" applyFont="1" applyBorder="1"/>
  </cellXfs>
  <cellStyles count="2">
    <cellStyle name="Comma" xfId="1" builtinId="3"/>
    <cellStyle name="Normal" xfId="0" builtinId="0"/>
  </cellStyles>
  <dxfs count="9">
    <dxf>
      <fill>
        <patternFill patternType="solid">
          <fgColor rgb="FFFEF2CB"/>
          <bgColor rgb="FFFEF2CB"/>
        </patternFill>
      </fill>
    </dxf>
    <dxf>
      <font>
        <b/>
        <color rgb="FFC00000"/>
      </font>
      <fill>
        <patternFill patternType="solid">
          <fgColor rgb="FFFBE4D5"/>
          <bgColor rgb="FFFBE4D5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EF2CB"/>
          <bgColor rgb="FFFEF2CB"/>
        </patternFill>
      </fill>
    </dxf>
    <dxf>
      <font>
        <color rgb="FFC00000"/>
      </font>
      <fill>
        <patternFill patternType="solid">
          <fgColor rgb="FFFBE4D5"/>
          <bgColor rgb="FFFBE4D5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FFFFFF"/>
          <bgColor rgb="FFFFFFFF"/>
        </patternFill>
      </fill>
    </dxf>
  </dxfs>
  <tableStyles count="1">
    <tableStyle name="Follow up-style" pivot="0" count="3" xr9:uid="{00000000-0011-0000-FFFF-FFFF00000000}">
      <tableStyleElement type="headerRow" dxfId="8"/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13</xdr:col>
      <xdr:colOff>858931</xdr:colOff>
      <xdr:row>5</xdr:row>
      <xdr:rowOff>93009</xdr:rowOff>
    </xdr:to>
    <xdr:sp macro="[0]!DateTo" textlink="">
      <xdr:nvSpPr>
        <xdr:cNvPr id="5" name="Rectangle 4">
          <a:extLst>
            <a:ext uri="{FF2B5EF4-FFF2-40B4-BE49-F238E27FC236}">
              <a16:creationId xmlns:a16="http://schemas.microsoft.com/office/drawing/2014/main" id="{706738F0-FC24-41C4-915B-A176C863C6C4}"/>
            </a:ext>
          </a:extLst>
        </xdr:cNvPr>
        <xdr:cNvSpPr/>
      </xdr:nvSpPr>
      <xdr:spPr>
        <a:xfrm>
          <a:off x="12875559" y="1019735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Date</a:t>
          </a:r>
          <a:r>
            <a:rPr lang="en-US" sz="1100" b="1" baseline="0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 To</a:t>
          </a: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13</xdr:col>
      <xdr:colOff>858931</xdr:colOff>
      <xdr:row>3</xdr:row>
      <xdr:rowOff>272303</xdr:rowOff>
    </xdr:to>
    <xdr:sp macro="[0]!DateFrom" textlink="">
      <xdr:nvSpPr>
        <xdr:cNvPr id="7" name="Rectangle 6">
          <a:extLst>
            <a:ext uri="{FF2B5EF4-FFF2-40B4-BE49-F238E27FC236}">
              <a16:creationId xmlns:a16="http://schemas.microsoft.com/office/drawing/2014/main" id="{8B93273F-F01E-4EFC-AC2A-FE277F70A81D}"/>
            </a:ext>
          </a:extLst>
        </xdr:cNvPr>
        <xdr:cNvSpPr/>
      </xdr:nvSpPr>
      <xdr:spPr>
        <a:xfrm>
          <a:off x="12875559" y="537882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Date</a:t>
          </a:r>
          <a:r>
            <a:rPr lang="en-US" sz="1100" b="1" baseline="0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 From</a:t>
          </a:r>
          <a:endParaRPr lang="en-US" sz="1100" b="1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  <a:p>
          <a:pPr algn="l"/>
          <a:endParaRPr lang="en-US" sz="1100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13</xdr:col>
      <xdr:colOff>858931</xdr:colOff>
      <xdr:row>2</xdr:row>
      <xdr:rowOff>93009</xdr:rowOff>
    </xdr:to>
    <xdr:sp macro="[0]!main" textlink="">
      <xdr:nvSpPr>
        <xdr:cNvPr id="10" name="Rectangle 9">
          <a:extLst>
            <a:ext uri="{FF2B5EF4-FFF2-40B4-BE49-F238E27FC236}">
              <a16:creationId xmlns:a16="http://schemas.microsoft.com/office/drawing/2014/main" id="{E8270AE7-EA93-4E1F-9823-A856662595B2}"/>
            </a:ext>
          </a:extLst>
        </xdr:cNvPr>
        <xdr:cNvSpPr/>
      </xdr:nvSpPr>
      <xdr:spPr>
        <a:xfrm>
          <a:off x="12875559" y="179294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Load</a:t>
          </a:r>
        </a:p>
        <a:p>
          <a:pPr algn="l"/>
          <a:endParaRPr lang="en-US" sz="1100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4</xdr:row>
      <xdr:rowOff>0</xdr:rowOff>
    </xdr:from>
    <xdr:to>
      <xdr:col>16</xdr:col>
      <xdr:colOff>858931</xdr:colOff>
      <xdr:row>4</xdr:row>
      <xdr:rowOff>272303</xdr:rowOff>
    </xdr:to>
    <xdr:sp macro="[0]!main2" textlink="">
      <xdr:nvSpPr>
        <xdr:cNvPr id="5" name="Rectangle 4">
          <a:extLst>
            <a:ext uri="{FF2B5EF4-FFF2-40B4-BE49-F238E27FC236}">
              <a16:creationId xmlns:a16="http://schemas.microsoft.com/office/drawing/2014/main" id="{1BA57FC7-FC00-4EAC-8F5F-EBAF8C514ACF}"/>
            </a:ext>
          </a:extLst>
        </xdr:cNvPr>
        <xdr:cNvSpPr/>
      </xdr:nvSpPr>
      <xdr:spPr>
        <a:xfrm>
          <a:off x="11677650" y="723900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Load</a:t>
          </a:r>
        </a:p>
        <a:p>
          <a:pPr algn="l"/>
          <a:endParaRPr lang="en-US" sz="1100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16</xdr:col>
      <xdr:colOff>858931</xdr:colOff>
      <xdr:row>3</xdr:row>
      <xdr:rowOff>91328</xdr:rowOff>
    </xdr:to>
    <xdr:sp macro="[0]!DateFromImport" textlink="">
      <xdr:nvSpPr>
        <xdr:cNvPr id="8" name="Rectangle 7">
          <a:extLst>
            <a:ext uri="{FF2B5EF4-FFF2-40B4-BE49-F238E27FC236}">
              <a16:creationId xmlns:a16="http://schemas.microsoft.com/office/drawing/2014/main" id="{41031DAB-538F-47EF-B9BE-6C9FA756A38C}"/>
            </a:ext>
          </a:extLst>
        </xdr:cNvPr>
        <xdr:cNvSpPr/>
      </xdr:nvSpPr>
      <xdr:spPr>
        <a:xfrm>
          <a:off x="11677650" y="361950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Date</a:t>
          </a:r>
          <a:r>
            <a:rPr lang="en-US" sz="1100" b="1" baseline="0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 From</a:t>
          </a:r>
          <a:endParaRPr lang="en-US" sz="1100" b="1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  <a:p>
          <a:pPr algn="l"/>
          <a:endParaRPr lang="en-US" sz="1100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</xdr:txBody>
    </xdr:sp>
    <xdr:clientData/>
  </xdr:twoCellAnchor>
  <xdr:twoCellAnchor>
    <xdr:from>
      <xdr:col>17</xdr:col>
      <xdr:colOff>0</xdr:colOff>
      <xdr:row>2</xdr:row>
      <xdr:rowOff>0</xdr:rowOff>
    </xdr:from>
    <xdr:to>
      <xdr:col>17</xdr:col>
      <xdr:colOff>858931</xdr:colOff>
      <xdr:row>3</xdr:row>
      <xdr:rowOff>91328</xdr:rowOff>
    </xdr:to>
    <xdr:sp macro="[0]!DateToImport" textlink="">
      <xdr:nvSpPr>
        <xdr:cNvPr id="10" name="Rectangle 9">
          <a:extLst>
            <a:ext uri="{FF2B5EF4-FFF2-40B4-BE49-F238E27FC236}">
              <a16:creationId xmlns:a16="http://schemas.microsoft.com/office/drawing/2014/main" id="{E8DDE263-C1B3-497F-B98D-1EC43B80F02B}"/>
            </a:ext>
          </a:extLst>
        </xdr:cNvPr>
        <xdr:cNvSpPr/>
      </xdr:nvSpPr>
      <xdr:spPr>
        <a:xfrm>
          <a:off x="12639675" y="361950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Date</a:t>
          </a:r>
          <a:r>
            <a:rPr lang="en-US" sz="1100" b="1" baseline="0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 To</a:t>
          </a:r>
          <a:endParaRPr lang="en-US" sz="1100" b="1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2:S8">
  <tableColumns count="19">
    <tableColumn id="1" xr3:uid="{00000000-0010-0000-0000-000001000000}" name="Supplier"/>
    <tableColumn id="2" xr3:uid="{00000000-0010-0000-0000-000002000000}" name="Country"/>
    <tableColumn id="3" xr3:uid="{00000000-0010-0000-0000-000003000000}" name="Chargeable weight / CBM"/>
    <tableColumn id="4" xr3:uid="{00000000-0010-0000-0000-000004000000}" name="Invoice No."/>
    <tableColumn id="5" xr3:uid="{00000000-0010-0000-0000-000005000000}" name="Invoice Date"/>
    <tableColumn id="6" xr3:uid="{00000000-0010-0000-0000-000006000000}" name="Arrival date"/>
    <tableColumn id="7" xr3:uid="{00000000-0010-0000-0000-000007000000}" name="A/N date"/>
    <tableColumn id="8" xr3:uid="{00000000-0010-0000-0000-000008000000}" name="Transported by"/>
    <tableColumn id="9" xr3:uid="{00000000-0010-0000-0000-000009000000}" name="Due date"/>
    <tableColumn id="10" xr3:uid="{00000000-0010-0000-0000-00000A000000}" name="Customs Sheet No"/>
    <tableColumn id="11" xr3:uid="{00000000-0010-0000-0000-00000B000000}" name="Date of CD"/>
    <tableColumn id="12" xr3:uid="{00000000-0010-0000-0000-00000C000000}" name="Request payment"/>
    <tableColumn id="13" xr3:uid="{00000000-0010-0000-0000-00000D000000}" name="Brendel request"/>
    <tableColumn id="14" xr3:uid="{00000000-0010-0000-0000-00000E000000}" name="Eray approval"/>
    <tableColumn id="15" xr3:uid="{00000000-0010-0000-0000-00000F000000}" name="Payment day"/>
    <tableColumn id="16" xr3:uid="{00000000-0010-0000-0000-000010000000}" name="Delivery day"/>
    <tableColumn id="17" xr3:uid="{00000000-0010-0000-0000-000011000000}" name="Days of late"/>
    <tableColumn id="18" xr3:uid="{00000000-0010-0000-0000-000012000000}" name="Storage fee"/>
    <tableColumn id="19" xr3:uid="{00000000-0010-0000-0000-000013000000}" name="note"/>
  </tableColumns>
  <tableStyleInfo name="Follow up-style" showFirstColumn="1" showLastColumn="1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00"/>
  <sheetViews>
    <sheetView zoomScale="85" zoomScaleNormal="85" workbookViewId="0">
      <pane xSplit="5" ySplit="3" topLeftCell="M4" activePane="bottomRight" state="frozen"/>
      <selection pane="topRight" activeCell="F1" sqref="F1"/>
      <selection pane="bottomLeft" activeCell="A4" sqref="A4"/>
      <selection pane="bottomRight" activeCell="M6" sqref="M6"/>
    </sheetView>
  </sheetViews>
  <sheetFormatPr defaultColWidth="14.42578125" defaultRowHeight="15" customHeight="1" x14ac:dyDescent="0.25"/>
  <cols>
    <col min="1" max="2" width="13" customWidth="1"/>
    <col min="3" max="3" width="12.5703125" customWidth="1"/>
    <col min="4" max="4" width="11.140625" customWidth="1"/>
    <col min="5" max="5" width="28.140625" customWidth="1"/>
    <col min="6" max="6" width="10.7109375" customWidth="1"/>
    <col min="7" max="7" width="6.140625" customWidth="1"/>
    <col min="8" max="8" width="13" customWidth="1"/>
    <col min="9" max="9" width="13.140625" customWidth="1"/>
    <col min="10" max="10" width="17.42578125" customWidth="1"/>
    <col min="11" max="11" width="19.28515625" customWidth="1"/>
    <col min="12" max="12" width="17.140625" customWidth="1"/>
    <col min="13" max="13" width="11.5703125" customWidth="1"/>
    <col min="14" max="14" width="12.5703125" customWidth="1"/>
    <col min="15" max="15" width="15.42578125" customWidth="1"/>
    <col min="16" max="16" width="11.42578125" customWidth="1"/>
    <col min="17" max="17" width="18" customWidth="1"/>
    <col min="18" max="18" width="13.42578125" customWidth="1"/>
    <col min="19" max="19" width="16.5703125" customWidth="1"/>
    <col min="20" max="20" width="19.28515625" customWidth="1"/>
    <col min="21" max="21" width="14.28515625" customWidth="1"/>
    <col min="22" max="22" width="14.140625" customWidth="1"/>
    <col min="23" max="25" width="13" customWidth="1"/>
    <col min="26" max="26" width="15.85546875" customWidth="1"/>
    <col min="27" max="27" width="13" customWidth="1"/>
    <col min="28" max="28" width="22.140625" customWidth="1"/>
    <col min="29" max="29" width="13" customWidth="1"/>
    <col min="30" max="30" width="16.85546875" customWidth="1"/>
    <col min="31" max="31" width="20.5703125" customWidth="1"/>
    <col min="32" max="32" width="14.42578125" customWidth="1"/>
    <col min="33" max="33" width="14.5703125" customWidth="1"/>
    <col min="34" max="35" width="13" customWidth="1"/>
    <col min="36" max="36" width="12" customWidth="1"/>
  </cols>
  <sheetData>
    <row r="1" spans="1:36" ht="27" customHeight="1" x14ac:dyDescent="0.25">
      <c r="A1" s="1" t="s">
        <v>0</v>
      </c>
      <c r="B1" s="2"/>
      <c r="C1" s="3"/>
      <c r="D1" s="3"/>
      <c r="E1" s="3"/>
      <c r="F1" s="3"/>
      <c r="G1" s="4"/>
      <c r="H1" s="4"/>
      <c r="I1" s="3"/>
      <c r="J1" s="3"/>
      <c r="K1" s="3"/>
      <c r="L1" s="4"/>
      <c r="M1" s="4"/>
      <c r="N1" s="5"/>
      <c r="O1" s="4"/>
      <c r="P1" s="4"/>
      <c r="Q1" s="4"/>
      <c r="R1" s="4"/>
      <c r="S1" s="4"/>
      <c r="T1" s="4"/>
      <c r="U1" s="4"/>
      <c r="V1" s="3"/>
      <c r="W1" s="3"/>
      <c r="X1" s="3"/>
      <c r="Y1" s="3"/>
      <c r="Z1" s="3"/>
      <c r="AA1" s="3"/>
      <c r="AB1" s="3"/>
      <c r="AC1" s="4"/>
      <c r="AD1" s="4"/>
      <c r="AE1" s="4"/>
      <c r="AF1" s="4"/>
      <c r="AG1" s="4"/>
      <c r="AH1" s="4"/>
      <c r="AI1" s="4"/>
      <c r="AJ1" s="3"/>
    </row>
    <row r="2" spans="1:36" ht="18" customHeight="1" x14ac:dyDescent="0.25">
      <c r="A2" s="3"/>
      <c r="B2" s="3"/>
      <c r="C2" s="2"/>
      <c r="D2" s="3"/>
      <c r="E2" s="3"/>
      <c r="F2" s="3"/>
      <c r="G2" s="4"/>
      <c r="H2" s="4"/>
      <c r="I2" s="3"/>
      <c r="J2" s="3"/>
      <c r="K2" s="3"/>
      <c r="L2" s="4"/>
      <c r="M2" s="4"/>
      <c r="N2" s="5"/>
      <c r="O2" s="4"/>
      <c r="P2" s="4"/>
      <c r="Q2" s="4"/>
      <c r="R2" s="4"/>
      <c r="S2" s="4"/>
      <c r="T2" s="4"/>
      <c r="U2" s="4"/>
      <c r="V2" s="3"/>
      <c r="W2" s="3"/>
      <c r="X2" s="3"/>
      <c r="Y2" s="3"/>
      <c r="Z2" s="3"/>
      <c r="AA2" s="3"/>
      <c r="AB2" s="3"/>
      <c r="AC2" s="4"/>
      <c r="AD2" s="4"/>
      <c r="AE2" s="4"/>
      <c r="AF2" s="4"/>
      <c r="AG2" s="4"/>
      <c r="AH2" s="4"/>
      <c r="AI2" s="4"/>
      <c r="AJ2" s="3"/>
    </row>
    <row r="3" spans="1:36" ht="41.25" customHeight="1" x14ac:dyDescent="0.25">
      <c r="A3" s="6" t="s">
        <v>1</v>
      </c>
      <c r="B3" s="6" t="s">
        <v>2</v>
      </c>
      <c r="C3" s="6" t="s">
        <v>3</v>
      </c>
      <c r="D3" s="7" t="s">
        <v>4</v>
      </c>
      <c r="E3" s="7" t="s">
        <v>5</v>
      </c>
      <c r="F3" s="7" t="s">
        <v>6</v>
      </c>
      <c r="G3" s="7" t="s">
        <v>7</v>
      </c>
      <c r="H3" s="7" t="s">
        <v>8</v>
      </c>
      <c r="I3" s="7" t="s">
        <v>9</v>
      </c>
      <c r="J3" s="8" t="s">
        <v>10</v>
      </c>
      <c r="K3" s="9" t="s">
        <v>11</v>
      </c>
      <c r="L3" s="7" t="s">
        <v>12</v>
      </c>
      <c r="M3" s="7" t="s">
        <v>13</v>
      </c>
      <c r="N3" s="6" t="s">
        <v>14</v>
      </c>
      <c r="O3" s="6" t="s">
        <v>15</v>
      </c>
      <c r="P3" s="6" t="s">
        <v>16</v>
      </c>
      <c r="Q3" s="6" t="s">
        <v>17</v>
      </c>
      <c r="R3" s="6" t="s">
        <v>18</v>
      </c>
      <c r="S3" s="6" t="s">
        <v>19</v>
      </c>
      <c r="T3" s="7" t="s">
        <v>20</v>
      </c>
      <c r="U3" s="7" t="s">
        <v>21</v>
      </c>
      <c r="V3" s="7" t="s">
        <v>22</v>
      </c>
      <c r="W3" s="7" t="s">
        <v>23</v>
      </c>
      <c r="X3" s="6" t="s">
        <v>24</v>
      </c>
      <c r="Y3" s="6" t="s">
        <v>233</v>
      </c>
      <c r="Z3" s="6" t="s">
        <v>25</v>
      </c>
      <c r="AA3" s="7" t="s">
        <v>26</v>
      </c>
      <c r="AB3" s="7" t="s">
        <v>27</v>
      </c>
      <c r="AC3" s="6" t="s">
        <v>28</v>
      </c>
      <c r="AD3" s="6" t="s">
        <v>29</v>
      </c>
      <c r="AE3" s="6" t="s">
        <v>30</v>
      </c>
      <c r="AF3" s="6" t="s">
        <v>31</v>
      </c>
      <c r="AG3" s="6" t="s">
        <v>32</v>
      </c>
      <c r="AH3" s="10" t="s">
        <v>33</v>
      </c>
      <c r="AI3" s="10" t="s">
        <v>34</v>
      </c>
      <c r="AJ3" s="11"/>
    </row>
    <row r="4" spans="1:36" ht="31.5" customHeight="1" x14ac:dyDescent="0.25">
      <c r="A4" s="12">
        <v>45294</v>
      </c>
      <c r="B4" s="12">
        <v>45294</v>
      </c>
      <c r="C4" s="13" t="s">
        <v>35</v>
      </c>
      <c r="D4" s="14" t="s">
        <v>36</v>
      </c>
      <c r="E4" s="13" t="s">
        <v>37</v>
      </c>
      <c r="F4" s="15" t="s">
        <v>38</v>
      </c>
      <c r="G4" s="14" t="s">
        <v>39</v>
      </c>
      <c r="H4" s="16">
        <v>250000</v>
      </c>
      <c r="I4" s="17">
        <v>1</v>
      </c>
      <c r="J4" s="18">
        <f t="shared" ref="J4:J7" si="0">H4*I4</f>
        <v>250000</v>
      </c>
      <c r="K4" s="19">
        <f>'EXP Details'!AN4</f>
        <v>3726668</v>
      </c>
      <c r="L4" s="20"/>
      <c r="M4" s="21"/>
      <c r="N4" s="13" t="s">
        <v>40</v>
      </c>
      <c r="O4" s="13" t="s">
        <v>41</v>
      </c>
      <c r="P4" s="20" t="s">
        <v>42</v>
      </c>
      <c r="Q4" s="20">
        <v>21122023</v>
      </c>
      <c r="R4" s="21">
        <v>45281</v>
      </c>
      <c r="S4" s="12" t="s">
        <v>43</v>
      </c>
      <c r="T4" s="13" t="s">
        <v>44</v>
      </c>
      <c r="U4" s="12">
        <v>45293</v>
      </c>
      <c r="V4" s="12">
        <v>45296</v>
      </c>
      <c r="W4" s="12">
        <v>45299</v>
      </c>
      <c r="X4" s="12">
        <v>45300</v>
      </c>
      <c r="Y4" s="12">
        <v>45301</v>
      </c>
      <c r="Z4" s="15" t="s">
        <v>45</v>
      </c>
      <c r="AA4" s="14" t="s">
        <v>46</v>
      </c>
      <c r="AB4" s="13"/>
      <c r="AC4" s="22"/>
      <c r="AD4" s="23"/>
      <c r="AE4" s="24"/>
      <c r="AF4" s="24"/>
      <c r="AG4" s="25"/>
      <c r="AH4" s="26"/>
      <c r="AI4" s="378" t="s">
        <v>235</v>
      </c>
      <c r="AJ4" s="27"/>
    </row>
    <row r="5" spans="1:36" ht="33" customHeight="1" x14ac:dyDescent="0.25">
      <c r="A5" s="28">
        <v>45294</v>
      </c>
      <c r="B5" s="28">
        <v>45294</v>
      </c>
      <c r="C5" s="29" t="s">
        <v>35</v>
      </c>
      <c r="D5" s="30" t="s">
        <v>36</v>
      </c>
      <c r="E5" s="29" t="s">
        <v>47</v>
      </c>
      <c r="F5" s="31" t="s">
        <v>38</v>
      </c>
      <c r="G5" s="30" t="s">
        <v>39</v>
      </c>
      <c r="H5" s="32">
        <v>4000</v>
      </c>
      <c r="I5" s="33">
        <v>20</v>
      </c>
      <c r="J5" s="34">
        <f t="shared" si="0"/>
        <v>80000</v>
      </c>
      <c r="K5" s="35"/>
      <c r="L5" s="36"/>
      <c r="M5" s="37"/>
      <c r="N5" s="29" t="s">
        <v>40</v>
      </c>
      <c r="O5" s="29" t="s">
        <v>41</v>
      </c>
      <c r="P5" s="36" t="s">
        <v>42</v>
      </c>
      <c r="Q5" s="36">
        <v>21122023</v>
      </c>
      <c r="R5" s="37">
        <v>45281</v>
      </c>
      <c r="S5" s="28" t="s">
        <v>43</v>
      </c>
      <c r="T5" s="29" t="s">
        <v>44</v>
      </c>
      <c r="U5" s="28">
        <v>45293</v>
      </c>
      <c r="V5" s="28">
        <v>45296</v>
      </c>
      <c r="W5" s="28">
        <v>45299</v>
      </c>
      <c r="X5" s="28">
        <v>45300</v>
      </c>
      <c r="Y5" s="12">
        <v>45302</v>
      </c>
      <c r="Z5" s="31" t="s">
        <v>45</v>
      </c>
      <c r="AA5" s="30" t="s">
        <v>46</v>
      </c>
      <c r="AB5" s="29"/>
      <c r="AC5" s="38"/>
      <c r="AD5" s="39"/>
      <c r="AE5" s="40"/>
      <c r="AF5" s="40"/>
      <c r="AG5" s="41"/>
      <c r="AH5" s="42"/>
      <c r="AI5" s="43" t="str">
        <f t="shared" ref="AI5:AI7" si="1">IF(AH5=0,"-",ROUND(AG5/AH5,2))</f>
        <v>-</v>
      </c>
      <c r="AJ5" s="27"/>
    </row>
    <row r="6" spans="1:36" ht="33" customHeight="1" x14ac:dyDescent="0.25">
      <c r="A6" s="44">
        <v>45294</v>
      </c>
      <c r="B6" s="44">
        <v>45294</v>
      </c>
      <c r="C6" s="45" t="s">
        <v>229</v>
      </c>
      <c r="D6" s="46" t="s">
        <v>36</v>
      </c>
      <c r="E6" s="45" t="s">
        <v>48</v>
      </c>
      <c r="F6" s="47" t="s">
        <v>38</v>
      </c>
      <c r="G6" s="46" t="s">
        <v>39</v>
      </c>
      <c r="H6" s="48">
        <v>125000</v>
      </c>
      <c r="I6" s="49">
        <v>3</v>
      </c>
      <c r="J6" s="50">
        <f t="shared" si="0"/>
        <v>375000</v>
      </c>
      <c r="K6" s="51"/>
      <c r="L6" s="52"/>
      <c r="M6" s="53"/>
      <c r="N6" s="45" t="s">
        <v>40</v>
      </c>
      <c r="O6" s="45" t="s">
        <v>41</v>
      </c>
      <c r="P6" s="52" t="s">
        <v>42</v>
      </c>
      <c r="Q6" s="52">
        <v>21122023</v>
      </c>
      <c r="R6" s="53">
        <v>45281</v>
      </c>
      <c r="S6" s="44" t="s">
        <v>43</v>
      </c>
      <c r="T6" s="45" t="s">
        <v>44</v>
      </c>
      <c r="U6" s="44">
        <v>45293</v>
      </c>
      <c r="V6" s="44">
        <v>45296</v>
      </c>
      <c r="W6" s="44">
        <v>45299</v>
      </c>
      <c r="X6" s="44">
        <v>45300</v>
      </c>
      <c r="Y6" s="12">
        <v>45303</v>
      </c>
      <c r="Z6" s="47" t="s">
        <v>45</v>
      </c>
      <c r="AA6" s="46" t="s">
        <v>46</v>
      </c>
      <c r="AB6" s="45"/>
      <c r="AC6" s="54"/>
      <c r="AD6" s="55"/>
      <c r="AE6" s="56"/>
      <c r="AF6" s="56"/>
      <c r="AG6" s="57"/>
      <c r="AH6" s="58"/>
      <c r="AI6" s="59" t="str">
        <f t="shared" si="1"/>
        <v>-</v>
      </c>
      <c r="AJ6" s="27"/>
    </row>
    <row r="7" spans="1:36" ht="33" customHeight="1" x14ac:dyDescent="0.25">
      <c r="A7" s="60">
        <v>45314</v>
      </c>
      <c r="B7" s="60">
        <v>45314</v>
      </c>
      <c r="C7" s="61" t="s">
        <v>49</v>
      </c>
      <c r="D7" s="62" t="s">
        <v>50</v>
      </c>
      <c r="E7" s="61" t="s">
        <v>51</v>
      </c>
      <c r="F7" s="63" t="s">
        <v>38</v>
      </c>
      <c r="G7" s="62" t="s">
        <v>39</v>
      </c>
      <c r="H7" s="64">
        <v>400000</v>
      </c>
      <c r="I7" s="65">
        <v>4</v>
      </c>
      <c r="J7" s="66">
        <f t="shared" si="0"/>
        <v>1600000</v>
      </c>
      <c r="K7" s="67">
        <f>'EXP Details'!AN7</f>
        <v>114415337</v>
      </c>
      <c r="L7" s="68" t="s">
        <v>52</v>
      </c>
      <c r="M7" s="69">
        <v>45261</v>
      </c>
      <c r="N7" s="61" t="s">
        <v>53</v>
      </c>
      <c r="O7" s="61" t="s">
        <v>54</v>
      </c>
      <c r="P7" s="70" t="s">
        <v>55</v>
      </c>
      <c r="Q7" s="70" t="s">
        <v>56</v>
      </c>
      <c r="R7" s="69">
        <v>45313</v>
      </c>
      <c r="S7" s="71" t="s">
        <v>57</v>
      </c>
      <c r="T7" s="61" t="s">
        <v>44</v>
      </c>
      <c r="U7" s="60">
        <v>45313</v>
      </c>
      <c r="V7" s="60">
        <v>45314</v>
      </c>
      <c r="W7" s="60">
        <v>45315</v>
      </c>
      <c r="X7" s="60">
        <v>45317</v>
      </c>
      <c r="Y7" s="12">
        <v>45303</v>
      </c>
      <c r="Z7" s="63" t="s">
        <v>58</v>
      </c>
      <c r="AA7" s="62" t="s">
        <v>59</v>
      </c>
      <c r="AB7" s="61"/>
      <c r="AC7" s="72">
        <v>2.8999999999999998E-3</v>
      </c>
      <c r="AD7" s="73">
        <f>AC7*H7</f>
        <v>1160</v>
      </c>
      <c r="AE7" s="74">
        <f>K7</f>
        <v>114415337</v>
      </c>
      <c r="AF7" s="74">
        <v>26339.59</v>
      </c>
      <c r="AG7" s="75">
        <f>ROUND(AE7/AF7/H7,4)</f>
        <v>1.09E-2</v>
      </c>
      <c r="AH7" s="76">
        <f>AG7+I7</f>
        <v>4.0109000000000004</v>
      </c>
      <c r="AI7" s="77">
        <f t="shared" si="1"/>
        <v>0</v>
      </c>
      <c r="AJ7" s="27">
        <f>AG7/AH7*100</f>
        <v>0.27175945548380659</v>
      </c>
    </row>
    <row r="8" spans="1:36" ht="33" customHeight="1" x14ac:dyDescent="0.25">
      <c r="A8" s="78"/>
      <c r="B8" s="78"/>
      <c r="C8" s="79"/>
      <c r="D8" s="80"/>
      <c r="E8" s="79"/>
      <c r="F8" s="80"/>
      <c r="G8" s="80"/>
      <c r="H8" s="81"/>
      <c r="I8" s="82"/>
      <c r="J8" s="83"/>
      <c r="K8" s="84"/>
      <c r="L8" s="85"/>
      <c r="M8" s="86"/>
      <c r="N8" s="79"/>
      <c r="O8" s="79"/>
      <c r="P8" s="85"/>
      <c r="Q8" s="85"/>
      <c r="R8" s="86"/>
      <c r="S8" s="87"/>
      <c r="T8" s="79"/>
      <c r="U8" s="78"/>
      <c r="V8" s="78"/>
      <c r="W8" s="78"/>
      <c r="X8" s="78"/>
      <c r="Y8" s="78"/>
      <c r="Z8" s="80"/>
      <c r="AA8" s="80"/>
      <c r="AB8" s="79"/>
      <c r="AC8" s="88"/>
      <c r="AD8" s="89"/>
      <c r="AE8" s="90"/>
      <c r="AF8" s="90"/>
      <c r="AG8" s="91"/>
      <c r="AH8" s="76"/>
      <c r="AI8" s="77"/>
      <c r="AJ8" s="27"/>
    </row>
    <row r="9" spans="1:36" ht="33" customHeight="1" x14ac:dyDescent="0.25">
      <c r="A9" s="78"/>
      <c r="B9" s="78"/>
      <c r="C9" s="79"/>
      <c r="D9" s="80"/>
      <c r="E9" s="79"/>
      <c r="F9" s="80"/>
      <c r="G9" s="80"/>
      <c r="H9" s="81"/>
      <c r="I9" s="82"/>
      <c r="J9" s="83"/>
      <c r="K9" s="84"/>
      <c r="L9" s="85"/>
      <c r="M9" s="86"/>
      <c r="N9" s="79"/>
      <c r="O9" s="79"/>
      <c r="P9" s="85"/>
      <c r="Q9" s="85"/>
      <c r="R9" s="86"/>
      <c r="S9" s="87"/>
      <c r="T9" s="79"/>
      <c r="U9" s="78"/>
      <c r="V9" s="78"/>
      <c r="W9" s="78"/>
      <c r="X9" s="78"/>
      <c r="Y9" s="78"/>
      <c r="Z9" s="80"/>
      <c r="AA9" s="80"/>
      <c r="AB9" s="79"/>
      <c r="AC9" s="88"/>
      <c r="AD9" s="89"/>
      <c r="AE9" s="90"/>
      <c r="AF9" s="90"/>
      <c r="AG9" s="91"/>
      <c r="AH9" s="76"/>
      <c r="AI9" s="77"/>
      <c r="AJ9" s="27"/>
    </row>
    <row r="10" spans="1:36" ht="33" customHeight="1" x14ac:dyDescent="0.25">
      <c r="A10" s="78"/>
      <c r="B10" s="78"/>
      <c r="C10" s="79"/>
      <c r="D10" s="80"/>
      <c r="E10" s="79"/>
      <c r="F10" s="80"/>
      <c r="G10" s="80"/>
      <c r="H10" s="81"/>
      <c r="I10" s="92"/>
      <c r="J10" s="83"/>
      <c r="K10" s="84"/>
      <c r="L10" s="85"/>
      <c r="M10" s="86"/>
      <c r="N10" s="79"/>
      <c r="O10" s="79"/>
      <c r="P10" s="85"/>
      <c r="Q10" s="85"/>
      <c r="R10" s="86"/>
      <c r="S10" s="87"/>
      <c r="T10" s="79"/>
      <c r="U10" s="78"/>
      <c r="V10" s="78"/>
      <c r="W10" s="78"/>
      <c r="X10" s="78"/>
      <c r="Y10" s="78"/>
      <c r="Z10" s="80"/>
      <c r="AA10" s="80"/>
      <c r="AB10" s="79"/>
      <c r="AC10" s="88"/>
      <c r="AD10" s="89"/>
      <c r="AE10" s="90"/>
      <c r="AF10" s="90"/>
      <c r="AG10" s="91"/>
      <c r="AH10" s="76"/>
      <c r="AI10" s="77"/>
      <c r="AJ10" s="27"/>
    </row>
    <row r="11" spans="1:36" ht="33" customHeight="1" x14ac:dyDescent="0.25">
      <c r="A11" s="78"/>
      <c r="B11" s="78"/>
      <c r="C11" s="79"/>
      <c r="D11" s="80"/>
      <c r="E11" s="79"/>
      <c r="F11" s="80"/>
      <c r="G11" s="80"/>
      <c r="H11" s="81"/>
      <c r="I11" s="92"/>
      <c r="J11" s="83"/>
      <c r="K11" s="84"/>
      <c r="L11" s="85"/>
      <c r="M11" s="86"/>
      <c r="N11" s="79"/>
      <c r="O11" s="79"/>
      <c r="P11" s="85"/>
      <c r="Q11" s="85"/>
      <c r="R11" s="86"/>
      <c r="S11" s="87"/>
      <c r="T11" s="79"/>
      <c r="U11" s="78"/>
      <c r="V11" s="78"/>
      <c r="W11" s="78"/>
      <c r="X11" s="78"/>
      <c r="Y11" s="78"/>
      <c r="Z11" s="80"/>
      <c r="AA11" s="80"/>
      <c r="AB11" s="79"/>
      <c r="AC11" s="88"/>
      <c r="AD11" s="89"/>
      <c r="AE11" s="90"/>
      <c r="AF11" s="90"/>
      <c r="AG11" s="91"/>
      <c r="AH11" s="76"/>
      <c r="AI11" s="77"/>
      <c r="AJ11" s="27"/>
    </row>
    <row r="12" spans="1:36" ht="13.5" customHeight="1" x14ac:dyDescent="0.25">
      <c r="A12" s="3"/>
      <c r="B12" s="3"/>
      <c r="C12" s="3"/>
      <c r="D12" s="3"/>
      <c r="E12" s="3"/>
      <c r="F12" s="3"/>
      <c r="G12" s="4"/>
      <c r="H12" s="4"/>
      <c r="I12" s="3"/>
      <c r="J12" s="3"/>
      <c r="K12" s="3"/>
      <c r="L12" s="4"/>
      <c r="M12" s="4"/>
      <c r="N12" s="5"/>
      <c r="O12" s="4"/>
      <c r="P12" s="4"/>
      <c r="Q12" s="4"/>
      <c r="R12" s="4"/>
      <c r="S12" s="4"/>
      <c r="T12" s="4"/>
      <c r="U12" s="4"/>
      <c r="V12" s="3"/>
      <c r="W12" s="3"/>
      <c r="X12" s="3"/>
      <c r="Y12" s="3"/>
      <c r="Z12" s="3"/>
      <c r="AA12" s="3"/>
      <c r="AB12" s="3"/>
      <c r="AC12" s="4"/>
      <c r="AD12" s="4"/>
      <c r="AE12" s="4"/>
      <c r="AF12" s="4"/>
      <c r="AG12" s="4"/>
      <c r="AH12" s="4"/>
      <c r="AI12" s="4"/>
      <c r="AJ12" s="3"/>
    </row>
    <row r="13" spans="1:36" ht="13.5" customHeight="1" x14ac:dyDescent="0.25">
      <c r="A13" s="3"/>
      <c r="B13" s="3"/>
      <c r="C13" s="3"/>
      <c r="D13" s="3"/>
      <c r="E13" s="3"/>
      <c r="F13" s="3"/>
      <c r="G13" s="4"/>
      <c r="H13" s="4"/>
      <c r="I13" s="3"/>
      <c r="J13" s="3"/>
      <c r="K13" s="3"/>
      <c r="L13" s="4"/>
      <c r="M13" s="4"/>
      <c r="N13" s="5"/>
      <c r="O13" s="4"/>
      <c r="P13" s="4"/>
      <c r="Q13" s="4"/>
      <c r="R13" s="4"/>
      <c r="S13" s="4"/>
      <c r="T13" s="4"/>
      <c r="U13" s="4"/>
      <c r="V13" s="3"/>
      <c r="W13" s="3"/>
      <c r="X13" s="3"/>
      <c r="Y13" s="3"/>
      <c r="Z13" s="3"/>
      <c r="AA13" s="3"/>
      <c r="AB13" s="3"/>
      <c r="AC13" s="4"/>
      <c r="AD13" s="4"/>
      <c r="AE13" s="4"/>
      <c r="AF13" s="4"/>
      <c r="AG13" s="4"/>
      <c r="AH13" s="4"/>
      <c r="AI13" s="4"/>
      <c r="AJ13" s="3"/>
    </row>
    <row r="14" spans="1:36" ht="13.5" customHeight="1" x14ac:dyDescent="0.25">
      <c r="A14" s="3"/>
      <c r="B14" s="3"/>
      <c r="C14" s="3"/>
      <c r="D14" s="3"/>
      <c r="E14" s="3"/>
      <c r="F14" s="3"/>
      <c r="G14" s="4"/>
      <c r="H14" s="4"/>
      <c r="I14" s="3"/>
      <c r="J14" s="3"/>
      <c r="K14" s="3"/>
      <c r="L14" s="4"/>
      <c r="M14" s="4"/>
      <c r="N14" s="5"/>
      <c r="O14" s="4"/>
      <c r="P14" s="4"/>
      <c r="Q14" s="4"/>
      <c r="R14" s="4"/>
      <c r="S14" s="4"/>
      <c r="T14" s="4"/>
      <c r="U14" s="4"/>
      <c r="V14" s="3"/>
      <c r="W14" s="3"/>
      <c r="X14" s="3"/>
      <c r="Y14" s="3"/>
      <c r="Z14" s="3"/>
      <c r="AA14" s="3"/>
      <c r="AB14" s="3"/>
      <c r="AC14" s="4"/>
      <c r="AD14" s="4"/>
      <c r="AE14" s="4"/>
      <c r="AF14" s="4"/>
      <c r="AG14" s="4"/>
      <c r="AH14" s="4"/>
      <c r="AI14" s="4"/>
      <c r="AJ14" s="3"/>
    </row>
    <row r="15" spans="1:36" ht="13.5" customHeight="1" x14ac:dyDescent="0.25">
      <c r="A15" s="3"/>
      <c r="B15" s="3"/>
      <c r="C15" s="3"/>
      <c r="D15" s="3"/>
      <c r="E15" s="3"/>
      <c r="F15" s="3"/>
      <c r="G15" s="4"/>
      <c r="H15" s="4"/>
      <c r="I15" s="3"/>
      <c r="J15" s="3"/>
      <c r="K15" s="3"/>
      <c r="L15" s="4"/>
      <c r="M15" s="4"/>
      <c r="N15" s="5"/>
      <c r="O15" s="4"/>
      <c r="P15" s="4"/>
      <c r="Q15" s="4"/>
      <c r="R15" s="4"/>
      <c r="S15" s="4"/>
      <c r="T15" s="4"/>
      <c r="U15" s="4"/>
      <c r="V15" s="3"/>
      <c r="W15" s="3"/>
      <c r="X15" s="3"/>
      <c r="Y15" s="3"/>
      <c r="Z15" s="3"/>
      <c r="AA15" s="3"/>
      <c r="AB15" s="3"/>
      <c r="AC15" s="4"/>
      <c r="AD15" s="4"/>
      <c r="AE15" s="4"/>
      <c r="AF15" s="4"/>
      <c r="AG15" s="4"/>
      <c r="AH15" s="4"/>
      <c r="AI15" s="4"/>
      <c r="AJ15" s="3"/>
    </row>
    <row r="16" spans="1:36" ht="13.5" customHeight="1" x14ac:dyDescent="0.25">
      <c r="A16" s="3"/>
      <c r="B16" s="3"/>
      <c r="C16" s="3"/>
      <c r="D16" s="3"/>
      <c r="E16" s="3"/>
      <c r="F16" s="3"/>
      <c r="G16" s="4"/>
      <c r="H16" s="4"/>
      <c r="I16" s="3"/>
      <c r="J16" s="3"/>
      <c r="K16" s="3"/>
      <c r="L16" s="4"/>
      <c r="M16" s="4"/>
      <c r="N16" s="5"/>
      <c r="O16" s="4"/>
      <c r="P16" s="4"/>
      <c r="Q16" s="4"/>
      <c r="R16" s="4"/>
      <c r="S16" s="4"/>
      <c r="T16" s="4"/>
      <c r="U16" s="4"/>
      <c r="V16" s="3"/>
      <c r="W16" s="3"/>
      <c r="X16" s="3"/>
      <c r="Y16" s="3"/>
      <c r="Z16" s="3"/>
      <c r="AA16" s="3"/>
      <c r="AB16" s="3"/>
      <c r="AC16" s="4"/>
      <c r="AD16" s="4"/>
      <c r="AE16" s="4"/>
      <c r="AF16" s="4"/>
      <c r="AG16" s="4"/>
      <c r="AH16" s="4"/>
      <c r="AI16" s="4"/>
      <c r="AJ16" s="3"/>
    </row>
    <row r="17" spans="1:36" ht="13.5" customHeight="1" x14ac:dyDescent="0.25">
      <c r="A17" s="3"/>
      <c r="B17" s="3"/>
      <c r="C17" s="3"/>
      <c r="D17" s="3"/>
      <c r="E17" s="3"/>
      <c r="F17" s="3"/>
      <c r="G17" s="4"/>
      <c r="H17" s="4"/>
      <c r="I17" s="3"/>
      <c r="J17" s="3"/>
      <c r="K17" s="3"/>
      <c r="L17" s="4"/>
      <c r="M17" s="4"/>
      <c r="N17" s="5"/>
      <c r="O17" s="4"/>
      <c r="P17" s="4"/>
      <c r="Q17" s="4"/>
      <c r="R17" s="4"/>
      <c r="S17" s="4"/>
      <c r="T17" s="4"/>
      <c r="U17" s="4"/>
      <c r="V17" s="3"/>
      <c r="W17" s="3"/>
      <c r="X17" s="3"/>
      <c r="Y17" s="3"/>
      <c r="Z17" s="3"/>
      <c r="AA17" s="3"/>
      <c r="AB17" s="3"/>
      <c r="AC17" s="4"/>
      <c r="AD17" s="4"/>
      <c r="AE17" s="4"/>
      <c r="AF17" s="4"/>
      <c r="AG17" s="4"/>
      <c r="AH17" s="4"/>
      <c r="AI17" s="4"/>
      <c r="AJ17" s="3"/>
    </row>
    <row r="18" spans="1:36" ht="13.5" customHeight="1" x14ac:dyDescent="0.25">
      <c r="A18" s="3"/>
      <c r="B18" s="3"/>
      <c r="C18" s="3"/>
      <c r="D18" s="3"/>
      <c r="E18" s="3"/>
      <c r="F18" s="3"/>
      <c r="G18" s="4"/>
      <c r="H18" s="4"/>
      <c r="I18" s="3"/>
      <c r="J18" s="3"/>
      <c r="K18" s="3"/>
      <c r="L18" s="4"/>
      <c r="M18" s="4"/>
      <c r="N18" s="5"/>
      <c r="O18" s="4"/>
      <c r="P18" s="4"/>
      <c r="Q18" s="4"/>
      <c r="R18" s="4"/>
      <c r="S18" s="4"/>
      <c r="T18" s="4"/>
      <c r="U18" s="4"/>
      <c r="V18" s="3"/>
      <c r="W18" s="3"/>
      <c r="X18" s="3"/>
      <c r="Y18" s="3"/>
      <c r="Z18" s="3"/>
      <c r="AA18" s="3"/>
      <c r="AB18" s="3"/>
      <c r="AC18" s="4"/>
      <c r="AD18" s="4"/>
      <c r="AE18" s="4"/>
      <c r="AF18" s="4"/>
      <c r="AG18" s="4"/>
      <c r="AH18" s="4"/>
      <c r="AI18" s="4"/>
      <c r="AJ18" s="3"/>
    </row>
    <row r="19" spans="1:36" ht="13.5" customHeight="1" x14ac:dyDescent="0.25">
      <c r="A19" s="3"/>
      <c r="B19" s="3"/>
      <c r="C19" s="3"/>
      <c r="D19" s="3"/>
      <c r="E19" s="3"/>
      <c r="F19" s="3"/>
      <c r="G19" s="4"/>
      <c r="H19" s="4"/>
      <c r="I19" s="3"/>
      <c r="J19" s="3"/>
      <c r="K19" s="3"/>
      <c r="L19" s="4"/>
      <c r="M19" s="4"/>
      <c r="N19" s="5"/>
      <c r="O19" s="4"/>
      <c r="P19" s="4"/>
      <c r="Q19" s="4"/>
      <c r="R19" s="4"/>
      <c r="S19" s="4"/>
      <c r="T19" s="4"/>
      <c r="U19" s="4"/>
      <c r="V19" s="3"/>
      <c r="W19" s="3"/>
      <c r="X19" s="3"/>
      <c r="Y19" s="3"/>
      <c r="Z19" s="3"/>
      <c r="AA19" s="3"/>
      <c r="AB19" s="3"/>
      <c r="AC19" s="4"/>
      <c r="AD19" s="4"/>
      <c r="AE19" s="4"/>
      <c r="AF19" s="4"/>
      <c r="AG19" s="4"/>
      <c r="AH19" s="4"/>
      <c r="AI19" s="4"/>
      <c r="AJ19" s="3"/>
    </row>
    <row r="20" spans="1:36" ht="13.5" customHeight="1" x14ac:dyDescent="0.25">
      <c r="A20" s="3"/>
      <c r="B20" s="3"/>
      <c r="C20" s="3"/>
      <c r="D20" s="3"/>
      <c r="E20" s="3"/>
      <c r="F20" s="3"/>
      <c r="G20" s="4"/>
      <c r="H20" s="4"/>
      <c r="I20" s="3"/>
      <c r="J20" s="3"/>
      <c r="K20" s="3"/>
      <c r="L20" s="4"/>
      <c r="M20" s="4"/>
      <c r="N20" s="5"/>
      <c r="O20" s="4"/>
      <c r="P20" s="4"/>
      <c r="Q20" s="4"/>
      <c r="R20" s="4"/>
      <c r="S20" s="4"/>
      <c r="T20" s="4"/>
      <c r="U20" s="4"/>
      <c r="V20" s="3"/>
      <c r="W20" s="3"/>
      <c r="X20" s="3"/>
      <c r="Y20" s="3"/>
      <c r="Z20" s="3"/>
      <c r="AA20" s="3"/>
      <c r="AB20" s="3"/>
      <c r="AC20" s="4"/>
      <c r="AD20" s="4"/>
      <c r="AE20" s="4"/>
      <c r="AF20" s="4"/>
      <c r="AG20" s="4"/>
      <c r="AH20" s="4"/>
      <c r="AI20" s="4"/>
      <c r="AJ20" s="3"/>
    </row>
    <row r="21" spans="1:36" ht="13.5" customHeight="1" x14ac:dyDescent="0.25">
      <c r="A21" s="3"/>
      <c r="B21" s="3"/>
      <c r="C21" s="3"/>
      <c r="D21" s="3"/>
      <c r="E21" s="3"/>
      <c r="F21" s="3"/>
      <c r="G21" s="4"/>
      <c r="H21" s="4"/>
      <c r="I21" s="3"/>
      <c r="J21" s="3"/>
      <c r="K21" s="3"/>
      <c r="L21" s="4"/>
      <c r="M21" s="4"/>
      <c r="N21" s="5"/>
      <c r="O21" s="4"/>
      <c r="P21" s="4"/>
      <c r="Q21" s="4"/>
      <c r="R21" s="4"/>
      <c r="S21" s="4"/>
      <c r="T21" s="4"/>
      <c r="U21" s="4"/>
      <c r="V21" s="3"/>
      <c r="W21" s="3"/>
      <c r="X21" s="3"/>
      <c r="Y21" s="3"/>
      <c r="Z21" s="3"/>
      <c r="AA21" s="3"/>
      <c r="AB21" s="3"/>
      <c r="AC21" s="4"/>
      <c r="AD21" s="4"/>
      <c r="AE21" s="4"/>
      <c r="AF21" s="4"/>
      <c r="AG21" s="4"/>
      <c r="AH21" s="4"/>
      <c r="AI21" s="4"/>
      <c r="AJ21" s="3"/>
    </row>
    <row r="22" spans="1:36" ht="13.5" customHeight="1" x14ac:dyDescent="0.25">
      <c r="A22" s="3"/>
      <c r="B22" s="3"/>
      <c r="C22" s="3"/>
      <c r="D22" s="3"/>
      <c r="E22" s="3"/>
      <c r="F22" s="3"/>
      <c r="G22" s="4"/>
      <c r="H22" s="4"/>
      <c r="I22" s="3"/>
      <c r="J22" s="3"/>
      <c r="K22" s="3"/>
      <c r="L22" s="4"/>
      <c r="M22" s="4"/>
      <c r="N22" s="5"/>
      <c r="O22" s="4"/>
      <c r="P22" s="4"/>
      <c r="Q22" s="4"/>
      <c r="R22" s="4"/>
      <c r="S22" s="4"/>
      <c r="T22" s="4"/>
      <c r="U22" s="4"/>
      <c r="V22" s="3"/>
      <c r="W22" s="3"/>
      <c r="X22" s="3"/>
      <c r="Y22" s="3"/>
      <c r="Z22" s="3"/>
      <c r="AA22" s="3"/>
      <c r="AB22" s="3"/>
      <c r="AC22" s="4"/>
      <c r="AD22" s="4"/>
      <c r="AE22" s="4"/>
      <c r="AF22" s="4"/>
      <c r="AG22" s="4"/>
      <c r="AH22" s="4"/>
      <c r="AI22" s="4"/>
      <c r="AJ22" s="3"/>
    </row>
    <row r="23" spans="1:36" ht="13.5" customHeight="1" x14ac:dyDescent="0.25">
      <c r="A23" s="3"/>
      <c r="B23" s="3"/>
      <c r="C23" s="3"/>
      <c r="D23" s="3"/>
      <c r="E23" s="3"/>
      <c r="F23" s="3"/>
      <c r="G23" s="4"/>
      <c r="H23" s="4"/>
      <c r="I23" s="3"/>
      <c r="J23" s="3"/>
      <c r="K23" s="3"/>
      <c r="L23" s="4"/>
      <c r="M23" s="4"/>
      <c r="N23" s="5"/>
      <c r="O23" s="4"/>
      <c r="P23" s="4"/>
      <c r="Q23" s="4"/>
      <c r="R23" s="4"/>
      <c r="S23" s="4"/>
      <c r="T23" s="4"/>
      <c r="U23" s="4"/>
      <c r="V23" s="3"/>
      <c r="W23" s="3"/>
      <c r="X23" s="3"/>
      <c r="Y23" s="3"/>
      <c r="Z23" s="3"/>
      <c r="AA23" s="3"/>
      <c r="AB23" s="3"/>
      <c r="AC23" s="4"/>
      <c r="AD23" s="4"/>
      <c r="AE23" s="4"/>
      <c r="AF23" s="4"/>
      <c r="AG23" s="4"/>
      <c r="AH23" s="4"/>
      <c r="AI23" s="4"/>
      <c r="AJ23" s="3"/>
    </row>
    <row r="24" spans="1:36" ht="13.5" customHeight="1" x14ac:dyDescent="0.25">
      <c r="A24" s="3"/>
      <c r="B24" s="3"/>
      <c r="C24" s="3"/>
      <c r="D24" s="3"/>
      <c r="E24" s="3"/>
      <c r="F24" s="3"/>
      <c r="G24" s="4"/>
      <c r="H24" s="4"/>
      <c r="I24" s="3"/>
      <c r="J24" s="3"/>
      <c r="K24" s="3"/>
      <c r="L24" s="4"/>
      <c r="M24" s="4"/>
      <c r="N24" s="5"/>
      <c r="O24" s="4"/>
      <c r="P24" s="4"/>
      <c r="Q24" s="4"/>
      <c r="R24" s="4"/>
      <c r="S24" s="4"/>
      <c r="T24" s="4"/>
      <c r="U24" s="4"/>
      <c r="V24" s="3"/>
      <c r="W24" s="3"/>
      <c r="X24" s="3"/>
      <c r="Y24" s="3"/>
      <c r="Z24" s="3"/>
      <c r="AA24" s="3"/>
      <c r="AB24" s="3"/>
      <c r="AC24" s="4"/>
      <c r="AD24" s="4"/>
      <c r="AE24" s="4"/>
      <c r="AF24" s="4"/>
      <c r="AG24" s="4"/>
      <c r="AH24" s="4"/>
      <c r="AI24" s="4"/>
      <c r="AJ24" s="3"/>
    </row>
    <row r="25" spans="1:36" ht="13.5" customHeight="1" x14ac:dyDescent="0.25">
      <c r="A25" s="3"/>
      <c r="B25" s="3"/>
      <c r="C25" s="3"/>
      <c r="D25" s="3"/>
      <c r="E25" s="3"/>
      <c r="F25" s="3"/>
      <c r="G25" s="4"/>
      <c r="H25" s="4"/>
      <c r="I25" s="3"/>
      <c r="J25" s="3"/>
      <c r="K25" s="3"/>
      <c r="L25" s="4"/>
      <c r="M25" s="4"/>
      <c r="N25" s="5"/>
      <c r="O25" s="4"/>
      <c r="P25" s="4"/>
      <c r="Q25" s="4"/>
      <c r="R25" s="4"/>
      <c r="S25" s="4"/>
      <c r="T25" s="4"/>
      <c r="U25" s="4"/>
      <c r="V25" s="3"/>
      <c r="W25" s="3"/>
      <c r="X25" s="3"/>
      <c r="Y25" s="3"/>
      <c r="Z25" s="3"/>
      <c r="AA25" s="3"/>
      <c r="AB25" s="3"/>
      <c r="AC25" s="4"/>
      <c r="AD25" s="4"/>
      <c r="AE25" s="4"/>
      <c r="AF25" s="4"/>
      <c r="AG25" s="4"/>
      <c r="AH25" s="4"/>
      <c r="AI25" s="4"/>
      <c r="AJ25" s="3"/>
    </row>
    <row r="26" spans="1:36" ht="13.5" customHeight="1" x14ac:dyDescent="0.25">
      <c r="A26" s="3"/>
      <c r="B26" s="3"/>
      <c r="C26" s="3"/>
      <c r="D26" s="3"/>
      <c r="E26" s="3"/>
      <c r="F26" s="3"/>
      <c r="G26" s="4"/>
      <c r="H26" s="4"/>
      <c r="I26" s="3"/>
      <c r="J26" s="3"/>
      <c r="K26" s="3"/>
      <c r="L26" s="4"/>
      <c r="M26" s="4"/>
      <c r="N26" s="5"/>
      <c r="O26" s="4"/>
      <c r="P26" s="4"/>
      <c r="Q26" s="4"/>
      <c r="R26" s="4"/>
      <c r="S26" s="4"/>
      <c r="T26" s="4"/>
      <c r="U26" s="4"/>
      <c r="V26" s="3"/>
      <c r="W26" s="3"/>
      <c r="X26" s="3"/>
      <c r="Y26" s="3"/>
      <c r="Z26" s="3"/>
      <c r="AA26" s="3"/>
      <c r="AB26" s="3"/>
      <c r="AC26" s="4"/>
      <c r="AD26" s="4"/>
      <c r="AE26" s="4"/>
      <c r="AF26" s="4"/>
      <c r="AG26" s="4"/>
      <c r="AH26" s="4"/>
      <c r="AI26" s="4"/>
      <c r="AJ26" s="3"/>
    </row>
    <row r="27" spans="1:36" ht="13.5" customHeight="1" x14ac:dyDescent="0.25">
      <c r="A27" s="3"/>
      <c r="B27" s="3"/>
      <c r="C27" s="3"/>
      <c r="D27" s="3"/>
      <c r="E27" s="3"/>
      <c r="F27" s="3"/>
      <c r="G27" s="4"/>
      <c r="H27" s="4"/>
      <c r="I27" s="3"/>
      <c r="J27" s="3"/>
      <c r="K27" s="3"/>
      <c r="L27" s="4"/>
      <c r="M27" s="4"/>
      <c r="N27" s="5"/>
      <c r="O27" s="4"/>
      <c r="P27" s="4"/>
      <c r="Q27" s="4"/>
      <c r="R27" s="4"/>
      <c r="S27" s="4"/>
      <c r="T27" s="4"/>
      <c r="U27" s="4"/>
      <c r="V27" s="3"/>
      <c r="W27" s="3"/>
      <c r="X27" s="3"/>
      <c r="Y27" s="3"/>
      <c r="Z27" s="3"/>
      <c r="AA27" s="3"/>
      <c r="AB27" s="3"/>
      <c r="AC27" s="4"/>
      <c r="AD27" s="4"/>
      <c r="AE27" s="4"/>
      <c r="AF27" s="4"/>
      <c r="AG27" s="4"/>
      <c r="AH27" s="4"/>
      <c r="AI27" s="4"/>
      <c r="AJ27" s="3"/>
    </row>
    <row r="28" spans="1:36" ht="13.5" customHeight="1" x14ac:dyDescent="0.25">
      <c r="A28" s="3"/>
      <c r="B28" s="3"/>
      <c r="C28" s="3"/>
      <c r="D28" s="3"/>
      <c r="E28" s="3"/>
      <c r="F28" s="3"/>
      <c r="G28" s="4"/>
      <c r="H28" s="4"/>
      <c r="I28" s="3"/>
      <c r="J28" s="3"/>
      <c r="K28" s="3"/>
      <c r="L28" s="4"/>
      <c r="M28" s="4"/>
      <c r="N28" s="5"/>
      <c r="O28" s="4"/>
      <c r="P28" s="4"/>
      <c r="Q28" s="4"/>
      <c r="R28" s="4"/>
      <c r="S28" s="4"/>
      <c r="T28" s="4"/>
      <c r="U28" s="4"/>
      <c r="V28" s="3"/>
      <c r="W28" s="3"/>
      <c r="X28" s="3"/>
      <c r="Y28" s="3"/>
      <c r="Z28" s="3"/>
      <c r="AA28" s="3"/>
      <c r="AB28" s="3"/>
      <c r="AC28" s="4"/>
      <c r="AD28" s="4"/>
      <c r="AE28" s="4"/>
      <c r="AF28" s="4"/>
      <c r="AG28" s="4"/>
      <c r="AH28" s="4"/>
      <c r="AI28" s="4"/>
      <c r="AJ28" s="3"/>
    </row>
    <row r="29" spans="1:36" ht="13.5" customHeight="1" x14ac:dyDescent="0.25">
      <c r="A29" s="3"/>
      <c r="B29" s="3"/>
      <c r="C29" s="3"/>
      <c r="D29" s="3"/>
      <c r="E29" s="3"/>
      <c r="F29" s="3"/>
      <c r="G29" s="4"/>
      <c r="H29" s="4"/>
      <c r="I29" s="3"/>
      <c r="J29" s="3"/>
      <c r="K29" s="3"/>
      <c r="L29" s="4"/>
      <c r="M29" s="4"/>
      <c r="N29" s="5"/>
      <c r="O29" s="4"/>
      <c r="P29" s="4"/>
      <c r="Q29" s="4"/>
      <c r="R29" s="4"/>
      <c r="S29" s="4"/>
      <c r="T29" s="4"/>
      <c r="U29" s="4"/>
      <c r="V29" s="3"/>
      <c r="W29" s="3"/>
      <c r="X29" s="3"/>
      <c r="Y29" s="3"/>
      <c r="Z29" s="3"/>
      <c r="AA29" s="3"/>
      <c r="AB29" s="3"/>
      <c r="AC29" s="4"/>
      <c r="AD29" s="4"/>
      <c r="AE29" s="4"/>
      <c r="AF29" s="4"/>
      <c r="AG29" s="4"/>
      <c r="AH29" s="4"/>
      <c r="AI29" s="4"/>
      <c r="AJ29" s="3"/>
    </row>
    <row r="30" spans="1:36" ht="13.5" customHeight="1" x14ac:dyDescent="0.25">
      <c r="A30" s="3"/>
      <c r="B30" s="3"/>
      <c r="C30" s="3"/>
      <c r="D30" s="3"/>
      <c r="E30" s="3"/>
      <c r="F30" s="3"/>
      <c r="G30" s="4"/>
      <c r="H30" s="4"/>
      <c r="I30" s="3"/>
      <c r="J30" s="3"/>
      <c r="K30" s="3"/>
      <c r="L30" s="4"/>
      <c r="M30" s="4"/>
      <c r="N30" s="5"/>
      <c r="O30" s="4"/>
      <c r="P30" s="4"/>
      <c r="Q30" s="4"/>
      <c r="R30" s="4"/>
      <c r="S30" s="4"/>
      <c r="T30" s="4"/>
      <c r="U30" s="4"/>
      <c r="V30" s="3"/>
      <c r="W30" s="3"/>
      <c r="X30" s="3"/>
      <c r="Y30" s="3"/>
      <c r="Z30" s="3"/>
      <c r="AA30" s="3"/>
      <c r="AB30" s="3"/>
      <c r="AC30" s="4"/>
      <c r="AD30" s="4"/>
      <c r="AE30" s="4"/>
      <c r="AF30" s="4"/>
      <c r="AG30" s="4"/>
      <c r="AH30" s="4"/>
      <c r="AI30" s="4"/>
      <c r="AJ30" s="3"/>
    </row>
    <row r="31" spans="1:36" ht="13.5" customHeight="1" x14ac:dyDescent="0.25">
      <c r="A31" s="3"/>
      <c r="B31" s="3"/>
      <c r="C31" s="3"/>
      <c r="D31" s="3"/>
      <c r="E31" s="3"/>
      <c r="F31" s="3"/>
      <c r="G31" s="4"/>
      <c r="H31" s="4"/>
      <c r="I31" s="3"/>
      <c r="J31" s="3"/>
      <c r="K31" s="3"/>
      <c r="L31" s="4"/>
      <c r="M31" s="4"/>
      <c r="N31" s="5"/>
      <c r="O31" s="4"/>
      <c r="P31" s="4"/>
      <c r="Q31" s="4"/>
      <c r="R31" s="4"/>
      <c r="S31" s="4"/>
      <c r="T31" s="4"/>
      <c r="U31" s="4"/>
      <c r="V31" s="3"/>
      <c r="W31" s="3"/>
      <c r="X31" s="3"/>
      <c r="Y31" s="3"/>
      <c r="Z31" s="3"/>
      <c r="AA31" s="3"/>
      <c r="AB31" s="3"/>
      <c r="AC31" s="4"/>
      <c r="AD31" s="4"/>
      <c r="AE31" s="4"/>
      <c r="AF31" s="4"/>
      <c r="AG31" s="4"/>
      <c r="AH31" s="4"/>
      <c r="AI31" s="4"/>
      <c r="AJ31" s="3"/>
    </row>
    <row r="32" spans="1:36" ht="13.5" customHeight="1" x14ac:dyDescent="0.25">
      <c r="A32" s="3"/>
      <c r="B32" s="3"/>
      <c r="C32" s="3"/>
      <c r="D32" s="3"/>
      <c r="E32" s="3"/>
      <c r="F32" s="3"/>
      <c r="G32" s="4"/>
      <c r="H32" s="4"/>
      <c r="I32" s="3"/>
      <c r="J32" s="3"/>
      <c r="K32" s="3"/>
      <c r="L32" s="4"/>
      <c r="M32" s="4"/>
      <c r="N32" s="5"/>
      <c r="O32" s="4"/>
      <c r="P32" s="4"/>
      <c r="Q32" s="4"/>
      <c r="R32" s="4"/>
      <c r="S32" s="4"/>
      <c r="T32" s="4"/>
      <c r="U32" s="4"/>
      <c r="V32" s="3"/>
      <c r="W32" s="3"/>
      <c r="X32" s="3"/>
      <c r="Y32" s="3"/>
      <c r="Z32" s="3"/>
      <c r="AA32" s="3"/>
      <c r="AB32" s="3"/>
      <c r="AC32" s="4"/>
      <c r="AD32" s="4"/>
      <c r="AE32" s="4"/>
      <c r="AF32" s="4"/>
      <c r="AG32" s="4"/>
      <c r="AH32" s="4"/>
      <c r="AI32" s="4"/>
      <c r="AJ32" s="3"/>
    </row>
    <row r="33" spans="1:36" ht="13.5" customHeight="1" x14ac:dyDescent="0.25">
      <c r="A33" s="3"/>
      <c r="B33" s="3"/>
      <c r="C33" s="3"/>
      <c r="D33" s="3"/>
      <c r="E33" s="3"/>
      <c r="F33" s="3"/>
      <c r="G33" s="4"/>
      <c r="H33" s="4"/>
      <c r="I33" s="3"/>
      <c r="J33" s="3"/>
      <c r="K33" s="3"/>
      <c r="L33" s="4"/>
      <c r="M33" s="4"/>
      <c r="N33" s="5"/>
      <c r="O33" s="4"/>
      <c r="P33" s="4"/>
      <c r="Q33" s="4"/>
      <c r="R33" s="4"/>
      <c r="S33" s="4"/>
      <c r="T33" s="4"/>
      <c r="U33" s="4"/>
      <c r="V33" s="3"/>
      <c r="W33" s="3"/>
      <c r="X33" s="3"/>
      <c r="Y33" s="3"/>
      <c r="Z33" s="3"/>
      <c r="AA33" s="3"/>
      <c r="AB33" s="3"/>
      <c r="AC33" s="4"/>
      <c r="AD33" s="4"/>
      <c r="AE33" s="4"/>
      <c r="AF33" s="4"/>
      <c r="AG33" s="4"/>
      <c r="AH33" s="4"/>
      <c r="AI33" s="4"/>
      <c r="AJ33" s="3"/>
    </row>
    <row r="34" spans="1:36" ht="13.5" customHeight="1" x14ac:dyDescent="0.25">
      <c r="A34" s="3"/>
      <c r="B34" s="3"/>
      <c r="C34" s="3"/>
      <c r="D34" s="3"/>
      <c r="E34" s="3"/>
      <c r="F34" s="3"/>
      <c r="G34" s="4"/>
      <c r="H34" s="4"/>
      <c r="I34" s="3"/>
      <c r="J34" s="3"/>
      <c r="K34" s="3"/>
      <c r="L34" s="4"/>
      <c r="M34" s="4"/>
      <c r="N34" s="5"/>
      <c r="O34" s="4"/>
      <c r="P34" s="4"/>
      <c r="Q34" s="4"/>
      <c r="R34" s="4"/>
      <c r="S34" s="4"/>
      <c r="T34" s="4"/>
      <c r="U34" s="4"/>
      <c r="V34" s="3"/>
      <c r="W34" s="3"/>
      <c r="X34" s="3"/>
      <c r="Y34" s="3"/>
      <c r="Z34" s="3"/>
      <c r="AA34" s="3"/>
      <c r="AB34" s="3"/>
      <c r="AC34" s="4"/>
      <c r="AD34" s="4"/>
      <c r="AE34" s="4"/>
      <c r="AF34" s="4"/>
      <c r="AG34" s="4"/>
      <c r="AH34" s="4"/>
      <c r="AI34" s="4"/>
      <c r="AJ34" s="3"/>
    </row>
    <row r="35" spans="1:36" ht="13.5" customHeight="1" x14ac:dyDescent="0.25">
      <c r="A35" s="3"/>
      <c r="B35" s="3"/>
      <c r="C35" s="3"/>
      <c r="D35" s="3"/>
      <c r="E35" s="3"/>
      <c r="F35" s="3"/>
      <c r="G35" s="4"/>
      <c r="H35" s="4"/>
      <c r="I35" s="3"/>
      <c r="J35" s="3"/>
      <c r="K35" s="3"/>
      <c r="L35" s="4"/>
      <c r="M35" s="4"/>
      <c r="N35" s="5"/>
      <c r="O35" s="4"/>
      <c r="P35" s="4"/>
      <c r="Q35" s="4"/>
      <c r="R35" s="4"/>
      <c r="S35" s="4"/>
      <c r="T35" s="4"/>
      <c r="U35" s="4"/>
      <c r="V35" s="3"/>
      <c r="W35" s="3"/>
      <c r="X35" s="3"/>
      <c r="Y35" s="3"/>
      <c r="Z35" s="3"/>
      <c r="AA35" s="3"/>
      <c r="AB35" s="3"/>
      <c r="AC35" s="4"/>
      <c r="AD35" s="4"/>
      <c r="AE35" s="4"/>
      <c r="AF35" s="4"/>
      <c r="AG35" s="4"/>
      <c r="AH35" s="4"/>
      <c r="AI35" s="4"/>
      <c r="AJ35" s="3"/>
    </row>
    <row r="36" spans="1:36" ht="13.5" customHeight="1" x14ac:dyDescent="0.25">
      <c r="A36" s="3"/>
      <c r="B36" s="3"/>
      <c r="C36" s="3"/>
      <c r="D36" s="3"/>
      <c r="E36" s="3"/>
      <c r="F36" s="3"/>
      <c r="G36" s="4"/>
      <c r="H36" s="4"/>
      <c r="I36" s="3"/>
      <c r="J36" s="3"/>
      <c r="K36" s="3"/>
      <c r="L36" s="4"/>
      <c r="M36" s="4"/>
      <c r="N36" s="5"/>
      <c r="O36" s="4"/>
      <c r="P36" s="4"/>
      <c r="Q36" s="4"/>
      <c r="R36" s="4"/>
      <c r="S36" s="4"/>
      <c r="T36" s="4"/>
      <c r="U36" s="4"/>
      <c r="V36" s="3"/>
      <c r="W36" s="3"/>
      <c r="X36" s="3"/>
      <c r="Y36" s="3"/>
      <c r="Z36" s="3"/>
      <c r="AA36" s="3"/>
      <c r="AB36" s="3"/>
      <c r="AC36" s="4"/>
      <c r="AD36" s="4"/>
      <c r="AE36" s="4"/>
      <c r="AF36" s="4"/>
      <c r="AG36" s="4"/>
      <c r="AH36" s="4"/>
      <c r="AI36" s="4"/>
      <c r="AJ36" s="3"/>
    </row>
    <row r="37" spans="1:36" ht="13.5" customHeight="1" x14ac:dyDescent="0.25">
      <c r="A37" s="3"/>
      <c r="B37" s="3"/>
      <c r="C37" s="3"/>
      <c r="D37" s="3"/>
      <c r="E37" s="3"/>
      <c r="F37" s="3"/>
      <c r="G37" s="4"/>
      <c r="H37" s="4"/>
      <c r="I37" s="3"/>
      <c r="J37" s="3"/>
      <c r="K37" s="3"/>
      <c r="L37" s="4"/>
      <c r="M37" s="4"/>
      <c r="N37" s="5"/>
      <c r="O37" s="4"/>
      <c r="P37" s="4"/>
      <c r="Q37" s="4"/>
      <c r="R37" s="4"/>
      <c r="S37" s="4"/>
      <c r="T37" s="4"/>
      <c r="U37" s="4"/>
      <c r="V37" s="3"/>
      <c r="W37" s="3"/>
      <c r="X37" s="3"/>
      <c r="Y37" s="3"/>
      <c r="Z37" s="3"/>
      <c r="AA37" s="3"/>
      <c r="AB37" s="3"/>
      <c r="AC37" s="4"/>
      <c r="AD37" s="4"/>
      <c r="AE37" s="4"/>
      <c r="AF37" s="4"/>
      <c r="AG37" s="4"/>
      <c r="AH37" s="4"/>
      <c r="AI37" s="4"/>
      <c r="AJ37" s="3"/>
    </row>
    <row r="38" spans="1:36" ht="13.5" customHeight="1" x14ac:dyDescent="0.25">
      <c r="A38" s="3"/>
      <c r="B38" s="3"/>
      <c r="C38" s="3"/>
      <c r="D38" s="3"/>
      <c r="E38" s="3"/>
      <c r="F38" s="3"/>
      <c r="G38" s="4"/>
      <c r="H38" s="4"/>
      <c r="I38" s="3"/>
      <c r="J38" s="3"/>
      <c r="K38" s="3"/>
      <c r="L38" s="4"/>
      <c r="M38" s="4"/>
      <c r="N38" s="5"/>
      <c r="O38" s="4"/>
      <c r="P38" s="4"/>
      <c r="Q38" s="4"/>
      <c r="R38" s="4"/>
      <c r="S38" s="4"/>
      <c r="T38" s="4"/>
      <c r="U38" s="4"/>
      <c r="V38" s="3"/>
      <c r="W38" s="3"/>
      <c r="X38" s="3"/>
      <c r="Y38" s="3"/>
      <c r="Z38" s="3"/>
      <c r="AA38" s="3"/>
      <c r="AB38" s="3"/>
      <c r="AC38" s="4"/>
      <c r="AD38" s="4"/>
      <c r="AE38" s="4"/>
      <c r="AF38" s="4"/>
      <c r="AG38" s="4"/>
      <c r="AH38" s="4"/>
      <c r="AI38" s="4"/>
      <c r="AJ38" s="3"/>
    </row>
    <row r="39" spans="1:36" ht="13.5" customHeight="1" x14ac:dyDescent="0.25">
      <c r="A39" s="3"/>
      <c r="B39" s="3"/>
      <c r="C39" s="3"/>
      <c r="D39" s="3"/>
      <c r="E39" s="3"/>
      <c r="F39" s="3"/>
      <c r="G39" s="4"/>
      <c r="H39" s="4"/>
      <c r="I39" s="3"/>
      <c r="J39" s="3"/>
      <c r="K39" s="3"/>
      <c r="L39" s="4"/>
      <c r="M39" s="4"/>
      <c r="N39" s="5"/>
      <c r="O39" s="4"/>
      <c r="P39" s="4"/>
      <c r="Q39" s="4"/>
      <c r="R39" s="4"/>
      <c r="S39" s="4"/>
      <c r="T39" s="4"/>
      <c r="U39" s="4"/>
      <c r="V39" s="3"/>
      <c r="W39" s="3"/>
      <c r="X39" s="3"/>
      <c r="Y39" s="3"/>
      <c r="Z39" s="3"/>
      <c r="AA39" s="3"/>
      <c r="AB39" s="3"/>
      <c r="AC39" s="4"/>
      <c r="AD39" s="4"/>
      <c r="AE39" s="4"/>
      <c r="AF39" s="4"/>
      <c r="AG39" s="4"/>
      <c r="AH39" s="4"/>
      <c r="AI39" s="4"/>
      <c r="AJ39" s="3"/>
    </row>
    <row r="40" spans="1:36" ht="13.5" customHeight="1" x14ac:dyDescent="0.25">
      <c r="A40" s="3"/>
      <c r="B40" s="3"/>
      <c r="C40" s="3"/>
      <c r="D40" s="3"/>
      <c r="E40" s="3"/>
      <c r="F40" s="3"/>
      <c r="G40" s="4"/>
      <c r="H40" s="4"/>
      <c r="I40" s="3"/>
      <c r="J40" s="3"/>
      <c r="K40" s="3"/>
      <c r="L40" s="4"/>
      <c r="M40" s="4"/>
      <c r="N40" s="5"/>
      <c r="O40" s="4"/>
      <c r="P40" s="4"/>
      <c r="Q40" s="4"/>
      <c r="R40" s="4"/>
      <c r="S40" s="4"/>
      <c r="T40" s="4"/>
      <c r="U40" s="4"/>
      <c r="V40" s="3"/>
      <c r="W40" s="3"/>
      <c r="X40" s="3"/>
      <c r="Y40" s="3"/>
      <c r="Z40" s="3"/>
      <c r="AA40" s="3"/>
      <c r="AB40" s="3"/>
      <c r="AC40" s="4"/>
      <c r="AD40" s="4"/>
      <c r="AE40" s="4"/>
      <c r="AF40" s="4"/>
      <c r="AG40" s="4"/>
      <c r="AH40" s="4"/>
      <c r="AI40" s="4"/>
      <c r="AJ40" s="3"/>
    </row>
    <row r="41" spans="1:36" ht="13.5" customHeight="1" x14ac:dyDescent="0.25">
      <c r="A41" s="3"/>
      <c r="B41" s="3"/>
      <c r="C41" s="3"/>
      <c r="D41" s="3"/>
      <c r="E41" s="3"/>
      <c r="F41" s="3"/>
      <c r="G41" s="4"/>
      <c r="H41" s="4"/>
      <c r="I41" s="3"/>
      <c r="J41" s="3"/>
      <c r="K41" s="3"/>
      <c r="L41" s="4"/>
      <c r="M41" s="4"/>
      <c r="N41" s="5"/>
      <c r="O41" s="4"/>
      <c r="P41" s="4"/>
      <c r="Q41" s="4"/>
      <c r="R41" s="4"/>
      <c r="S41" s="4"/>
      <c r="T41" s="4"/>
      <c r="U41" s="4"/>
      <c r="V41" s="3"/>
      <c r="W41" s="3"/>
      <c r="X41" s="3"/>
      <c r="Y41" s="3"/>
      <c r="Z41" s="3"/>
      <c r="AA41" s="3"/>
      <c r="AB41" s="3"/>
      <c r="AC41" s="4"/>
      <c r="AD41" s="4"/>
      <c r="AE41" s="4"/>
      <c r="AF41" s="4"/>
      <c r="AG41" s="4"/>
      <c r="AH41" s="4"/>
      <c r="AI41" s="4"/>
      <c r="AJ41" s="3"/>
    </row>
    <row r="42" spans="1:36" ht="13.5" customHeight="1" x14ac:dyDescent="0.25">
      <c r="A42" s="3"/>
      <c r="B42" s="3"/>
      <c r="C42" s="3"/>
      <c r="D42" s="3"/>
      <c r="E42" s="3"/>
      <c r="F42" s="3"/>
      <c r="G42" s="4"/>
      <c r="H42" s="4"/>
      <c r="I42" s="3"/>
      <c r="J42" s="3"/>
      <c r="K42" s="3"/>
      <c r="L42" s="4"/>
      <c r="M42" s="4"/>
      <c r="N42" s="5"/>
      <c r="O42" s="4"/>
      <c r="P42" s="4"/>
      <c r="Q42" s="4"/>
      <c r="R42" s="4"/>
      <c r="S42" s="4"/>
      <c r="T42" s="4"/>
      <c r="U42" s="4"/>
      <c r="V42" s="3"/>
      <c r="W42" s="3"/>
      <c r="X42" s="3"/>
      <c r="Y42" s="3"/>
      <c r="Z42" s="3"/>
      <c r="AA42" s="3"/>
      <c r="AB42" s="3"/>
      <c r="AC42" s="4"/>
      <c r="AD42" s="4"/>
      <c r="AE42" s="4"/>
      <c r="AF42" s="4"/>
      <c r="AG42" s="4"/>
      <c r="AH42" s="4"/>
      <c r="AI42" s="4"/>
      <c r="AJ42" s="3"/>
    </row>
    <row r="43" spans="1:36" ht="13.5" customHeight="1" x14ac:dyDescent="0.25">
      <c r="A43" s="3"/>
      <c r="B43" s="3"/>
      <c r="C43" s="3"/>
      <c r="D43" s="3"/>
      <c r="E43" s="3"/>
      <c r="F43" s="3"/>
      <c r="G43" s="4"/>
      <c r="H43" s="4"/>
      <c r="I43" s="3"/>
      <c r="J43" s="3"/>
      <c r="K43" s="3"/>
      <c r="L43" s="4"/>
      <c r="M43" s="4"/>
      <c r="N43" s="5"/>
      <c r="O43" s="4"/>
      <c r="P43" s="4"/>
      <c r="Q43" s="4"/>
      <c r="R43" s="4"/>
      <c r="S43" s="4"/>
      <c r="T43" s="4"/>
      <c r="U43" s="4"/>
      <c r="V43" s="3"/>
      <c r="W43" s="3"/>
      <c r="X43" s="3"/>
      <c r="Y43" s="3"/>
      <c r="Z43" s="3"/>
      <c r="AA43" s="3"/>
      <c r="AB43" s="3"/>
      <c r="AC43" s="4"/>
      <c r="AD43" s="4"/>
      <c r="AE43" s="4"/>
      <c r="AF43" s="4"/>
      <c r="AG43" s="4"/>
      <c r="AH43" s="4"/>
      <c r="AI43" s="4"/>
      <c r="AJ43" s="3"/>
    </row>
    <row r="44" spans="1:36" ht="13.5" customHeight="1" x14ac:dyDescent="0.25">
      <c r="A44" s="3"/>
      <c r="B44" s="3"/>
      <c r="C44" s="3"/>
      <c r="D44" s="3"/>
      <c r="E44" s="3"/>
      <c r="F44" s="3"/>
      <c r="G44" s="4"/>
      <c r="H44" s="4"/>
      <c r="I44" s="3"/>
      <c r="J44" s="3"/>
      <c r="K44" s="3"/>
      <c r="L44" s="4"/>
      <c r="M44" s="4"/>
      <c r="N44" s="5"/>
      <c r="O44" s="4"/>
      <c r="P44" s="4"/>
      <c r="Q44" s="4"/>
      <c r="R44" s="4"/>
      <c r="S44" s="4"/>
      <c r="T44" s="4"/>
      <c r="U44" s="4"/>
      <c r="V44" s="3"/>
      <c r="W44" s="3"/>
      <c r="X44" s="3"/>
      <c r="Y44" s="3"/>
      <c r="Z44" s="3"/>
      <c r="AA44" s="3"/>
      <c r="AB44" s="3"/>
      <c r="AC44" s="4"/>
      <c r="AD44" s="4"/>
      <c r="AE44" s="4"/>
      <c r="AF44" s="4"/>
      <c r="AG44" s="4"/>
      <c r="AH44" s="4"/>
      <c r="AI44" s="4"/>
      <c r="AJ44" s="3"/>
    </row>
    <row r="45" spans="1:36" ht="13.5" customHeight="1" x14ac:dyDescent="0.25">
      <c r="A45" s="3"/>
      <c r="B45" s="3"/>
      <c r="C45" s="3"/>
      <c r="D45" s="3"/>
      <c r="E45" s="3"/>
      <c r="F45" s="3"/>
      <c r="G45" s="4"/>
      <c r="H45" s="4"/>
      <c r="I45" s="3"/>
      <c r="J45" s="3"/>
      <c r="K45" s="3"/>
      <c r="L45" s="4"/>
      <c r="M45" s="4"/>
      <c r="N45" s="5"/>
      <c r="O45" s="4"/>
      <c r="P45" s="4"/>
      <c r="Q45" s="4"/>
      <c r="R45" s="4"/>
      <c r="S45" s="4"/>
      <c r="T45" s="4"/>
      <c r="U45" s="4"/>
      <c r="V45" s="3"/>
      <c r="W45" s="3"/>
      <c r="X45" s="3"/>
      <c r="Y45" s="3"/>
      <c r="Z45" s="3"/>
      <c r="AA45" s="3"/>
      <c r="AB45" s="3"/>
      <c r="AC45" s="4"/>
      <c r="AD45" s="4"/>
      <c r="AE45" s="4"/>
      <c r="AF45" s="4"/>
      <c r="AG45" s="4"/>
      <c r="AH45" s="4"/>
      <c r="AI45" s="4"/>
      <c r="AJ45" s="3"/>
    </row>
    <row r="46" spans="1:36" ht="13.5" customHeight="1" x14ac:dyDescent="0.25">
      <c r="A46" s="3"/>
      <c r="B46" s="3"/>
      <c r="C46" s="3"/>
      <c r="D46" s="3"/>
      <c r="E46" s="3"/>
      <c r="F46" s="3"/>
      <c r="G46" s="4"/>
      <c r="H46" s="4"/>
      <c r="I46" s="3"/>
      <c r="J46" s="3"/>
      <c r="K46" s="3"/>
      <c r="L46" s="4"/>
      <c r="M46" s="4"/>
      <c r="N46" s="5"/>
      <c r="O46" s="4"/>
      <c r="P46" s="4"/>
      <c r="Q46" s="4"/>
      <c r="R46" s="4"/>
      <c r="S46" s="4"/>
      <c r="T46" s="4"/>
      <c r="U46" s="4"/>
      <c r="V46" s="3"/>
      <c r="W46" s="3"/>
      <c r="X46" s="3"/>
      <c r="Y46" s="3"/>
      <c r="Z46" s="3"/>
      <c r="AA46" s="3"/>
      <c r="AB46" s="3"/>
      <c r="AC46" s="4"/>
      <c r="AD46" s="4"/>
      <c r="AE46" s="4"/>
      <c r="AF46" s="4"/>
      <c r="AG46" s="4"/>
      <c r="AH46" s="4"/>
      <c r="AI46" s="4"/>
      <c r="AJ46" s="3"/>
    </row>
    <row r="47" spans="1:36" ht="13.5" customHeight="1" x14ac:dyDescent="0.25">
      <c r="A47" s="3"/>
      <c r="B47" s="3"/>
      <c r="C47" s="3"/>
      <c r="D47" s="3"/>
      <c r="E47" s="3"/>
      <c r="F47" s="3"/>
      <c r="G47" s="4"/>
      <c r="H47" s="4"/>
      <c r="I47" s="3"/>
      <c r="J47" s="3"/>
      <c r="K47" s="3"/>
      <c r="L47" s="4"/>
      <c r="M47" s="4"/>
      <c r="N47" s="5"/>
      <c r="O47" s="4"/>
      <c r="P47" s="4"/>
      <c r="Q47" s="4"/>
      <c r="R47" s="4"/>
      <c r="S47" s="4"/>
      <c r="T47" s="4"/>
      <c r="U47" s="4"/>
      <c r="V47" s="3"/>
      <c r="W47" s="3"/>
      <c r="X47" s="3"/>
      <c r="Y47" s="3"/>
      <c r="Z47" s="3"/>
      <c r="AA47" s="3"/>
      <c r="AB47" s="3"/>
      <c r="AC47" s="4"/>
      <c r="AD47" s="4"/>
      <c r="AE47" s="4"/>
      <c r="AF47" s="4"/>
      <c r="AG47" s="4"/>
      <c r="AH47" s="4"/>
      <c r="AI47" s="4"/>
      <c r="AJ47" s="3"/>
    </row>
    <row r="48" spans="1:36" ht="13.5" customHeight="1" x14ac:dyDescent="0.25">
      <c r="A48" s="3"/>
      <c r="B48" s="3"/>
      <c r="C48" s="3"/>
      <c r="D48" s="3"/>
      <c r="E48" s="3"/>
      <c r="F48" s="3"/>
      <c r="G48" s="4"/>
      <c r="H48" s="4"/>
      <c r="I48" s="3"/>
      <c r="J48" s="3"/>
      <c r="K48" s="3"/>
      <c r="L48" s="4"/>
      <c r="M48" s="4"/>
      <c r="N48" s="5"/>
      <c r="O48" s="4"/>
      <c r="P48" s="4"/>
      <c r="Q48" s="4"/>
      <c r="R48" s="4"/>
      <c r="S48" s="4"/>
      <c r="T48" s="4"/>
      <c r="U48" s="4"/>
      <c r="V48" s="3"/>
      <c r="W48" s="3"/>
      <c r="X48" s="3"/>
      <c r="Y48" s="3"/>
      <c r="Z48" s="3"/>
      <c r="AA48" s="3"/>
      <c r="AB48" s="3"/>
      <c r="AC48" s="4"/>
      <c r="AD48" s="4"/>
      <c r="AE48" s="4"/>
      <c r="AF48" s="4"/>
      <c r="AG48" s="4"/>
      <c r="AH48" s="4"/>
      <c r="AI48" s="4"/>
      <c r="AJ48" s="3"/>
    </row>
    <row r="49" spans="1:36" ht="13.5" customHeight="1" x14ac:dyDescent="0.25">
      <c r="A49" s="3"/>
      <c r="B49" s="3"/>
      <c r="C49" s="3"/>
      <c r="D49" s="3"/>
      <c r="E49" s="3"/>
      <c r="F49" s="3"/>
      <c r="G49" s="4"/>
      <c r="H49" s="4"/>
      <c r="I49" s="3"/>
      <c r="J49" s="3"/>
      <c r="K49" s="3"/>
      <c r="L49" s="4"/>
      <c r="M49" s="4"/>
      <c r="N49" s="5"/>
      <c r="O49" s="4"/>
      <c r="P49" s="4"/>
      <c r="Q49" s="4"/>
      <c r="R49" s="4"/>
      <c r="S49" s="4"/>
      <c r="T49" s="4"/>
      <c r="U49" s="4"/>
      <c r="V49" s="3"/>
      <c r="W49" s="3"/>
      <c r="X49" s="3"/>
      <c r="Y49" s="3"/>
      <c r="Z49" s="3"/>
      <c r="AA49" s="3"/>
      <c r="AB49" s="3"/>
      <c r="AC49" s="4"/>
      <c r="AD49" s="4"/>
      <c r="AE49" s="4"/>
      <c r="AF49" s="4"/>
      <c r="AG49" s="4"/>
      <c r="AH49" s="4"/>
      <c r="AI49" s="4"/>
      <c r="AJ49" s="3"/>
    </row>
    <row r="50" spans="1:36" ht="13.5" customHeight="1" x14ac:dyDescent="0.25">
      <c r="A50" s="3"/>
      <c r="B50" s="3"/>
      <c r="C50" s="3"/>
      <c r="D50" s="3"/>
      <c r="E50" s="3"/>
      <c r="F50" s="3"/>
      <c r="G50" s="4"/>
      <c r="H50" s="4"/>
      <c r="I50" s="3"/>
      <c r="J50" s="3"/>
      <c r="K50" s="3"/>
      <c r="L50" s="4"/>
      <c r="M50" s="4"/>
      <c r="N50" s="5"/>
      <c r="O50" s="4"/>
      <c r="P50" s="4"/>
      <c r="Q50" s="4"/>
      <c r="R50" s="4"/>
      <c r="S50" s="4"/>
      <c r="T50" s="4"/>
      <c r="U50" s="4"/>
      <c r="V50" s="3"/>
      <c r="W50" s="3"/>
      <c r="X50" s="3"/>
      <c r="Y50" s="3"/>
      <c r="Z50" s="3"/>
      <c r="AA50" s="3"/>
      <c r="AB50" s="3"/>
      <c r="AC50" s="4"/>
      <c r="AD50" s="4"/>
      <c r="AE50" s="4"/>
      <c r="AF50" s="4"/>
      <c r="AG50" s="4"/>
      <c r="AH50" s="4"/>
      <c r="AI50" s="4"/>
      <c r="AJ50" s="3"/>
    </row>
    <row r="51" spans="1:36" ht="13.5" customHeight="1" x14ac:dyDescent="0.25">
      <c r="A51" s="3"/>
      <c r="B51" s="3"/>
      <c r="C51" s="3"/>
      <c r="D51" s="3"/>
      <c r="E51" s="3"/>
      <c r="F51" s="3"/>
      <c r="G51" s="4"/>
      <c r="H51" s="4"/>
      <c r="I51" s="3"/>
      <c r="J51" s="3"/>
      <c r="K51" s="3"/>
      <c r="L51" s="4"/>
      <c r="M51" s="4"/>
      <c r="N51" s="5"/>
      <c r="O51" s="4"/>
      <c r="P51" s="4"/>
      <c r="Q51" s="4"/>
      <c r="R51" s="4"/>
      <c r="S51" s="4"/>
      <c r="T51" s="4"/>
      <c r="U51" s="4"/>
      <c r="V51" s="3"/>
      <c r="W51" s="3"/>
      <c r="X51" s="3"/>
      <c r="Y51" s="3"/>
      <c r="Z51" s="3"/>
      <c r="AA51" s="3"/>
      <c r="AB51" s="3"/>
      <c r="AC51" s="4"/>
      <c r="AD51" s="4"/>
      <c r="AE51" s="4"/>
      <c r="AF51" s="4"/>
      <c r="AG51" s="4"/>
      <c r="AH51" s="4"/>
      <c r="AI51" s="4"/>
      <c r="AJ51" s="3"/>
    </row>
    <row r="52" spans="1:36" ht="13.5" customHeight="1" x14ac:dyDescent="0.25">
      <c r="A52" s="3"/>
      <c r="B52" s="3"/>
      <c r="C52" s="3"/>
      <c r="D52" s="3"/>
      <c r="E52" s="3"/>
      <c r="F52" s="3"/>
      <c r="G52" s="4"/>
      <c r="H52" s="4"/>
      <c r="I52" s="3"/>
      <c r="J52" s="3"/>
      <c r="K52" s="3"/>
      <c r="L52" s="4"/>
      <c r="M52" s="4"/>
      <c r="N52" s="5"/>
      <c r="O52" s="4"/>
      <c r="P52" s="4"/>
      <c r="Q52" s="4"/>
      <c r="R52" s="4"/>
      <c r="S52" s="4"/>
      <c r="T52" s="4"/>
      <c r="U52" s="4"/>
      <c r="V52" s="3"/>
      <c r="W52" s="3"/>
      <c r="X52" s="3"/>
      <c r="Y52" s="3"/>
      <c r="Z52" s="3"/>
      <c r="AA52" s="3"/>
      <c r="AB52" s="3"/>
      <c r="AC52" s="4"/>
      <c r="AD52" s="4"/>
      <c r="AE52" s="4"/>
      <c r="AF52" s="4"/>
      <c r="AG52" s="4"/>
      <c r="AH52" s="4"/>
      <c r="AI52" s="4"/>
      <c r="AJ52" s="3"/>
    </row>
    <row r="53" spans="1:36" ht="13.5" customHeight="1" x14ac:dyDescent="0.25">
      <c r="A53" s="3"/>
      <c r="B53" s="3"/>
      <c r="C53" s="3"/>
      <c r="D53" s="3"/>
      <c r="E53" s="3"/>
      <c r="F53" s="3"/>
      <c r="G53" s="4"/>
      <c r="H53" s="4"/>
      <c r="I53" s="3"/>
      <c r="J53" s="3"/>
      <c r="K53" s="3"/>
      <c r="L53" s="4"/>
      <c r="M53" s="4"/>
      <c r="N53" s="5"/>
      <c r="O53" s="4"/>
      <c r="P53" s="4"/>
      <c r="Q53" s="4"/>
      <c r="R53" s="4"/>
      <c r="S53" s="4"/>
      <c r="T53" s="4"/>
      <c r="U53" s="4"/>
      <c r="V53" s="3"/>
      <c r="W53" s="3"/>
      <c r="X53" s="3"/>
      <c r="Y53" s="3"/>
      <c r="Z53" s="3"/>
      <c r="AA53" s="3"/>
      <c r="AB53" s="3"/>
      <c r="AC53" s="4"/>
      <c r="AD53" s="4"/>
      <c r="AE53" s="4"/>
      <c r="AF53" s="4"/>
      <c r="AG53" s="4"/>
      <c r="AH53" s="4"/>
      <c r="AI53" s="4"/>
      <c r="AJ53" s="3"/>
    </row>
    <row r="54" spans="1:36" ht="13.5" customHeight="1" x14ac:dyDescent="0.25">
      <c r="A54" s="3"/>
      <c r="B54" s="3"/>
      <c r="C54" s="3"/>
      <c r="D54" s="3"/>
      <c r="E54" s="3"/>
      <c r="F54" s="3"/>
      <c r="G54" s="4"/>
      <c r="H54" s="4"/>
      <c r="I54" s="3"/>
      <c r="J54" s="3"/>
      <c r="K54" s="3"/>
      <c r="L54" s="4"/>
      <c r="M54" s="4"/>
      <c r="N54" s="5"/>
      <c r="O54" s="4"/>
      <c r="P54" s="4"/>
      <c r="Q54" s="4"/>
      <c r="R54" s="4"/>
      <c r="S54" s="4"/>
      <c r="T54" s="4"/>
      <c r="U54" s="4"/>
      <c r="V54" s="3"/>
      <c r="W54" s="3"/>
      <c r="X54" s="3"/>
      <c r="Y54" s="3"/>
      <c r="Z54" s="3"/>
      <c r="AA54" s="3"/>
      <c r="AB54" s="3"/>
      <c r="AC54" s="4"/>
      <c r="AD54" s="4"/>
      <c r="AE54" s="4"/>
      <c r="AF54" s="4"/>
      <c r="AG54" s="4"/>
      <c r="AH54" s="4"/>
      <c r="AI54" s="4"/>
      <c r="AJ54" s="3"/>
    </row>
    <row r="55" spans="1:36" ht="13.5" customHeight="1" x14ac:dyDescent="0.25">
      <c r="A55" s="3"/>
      <c r="B55" s="3"/>
      <c r="C55" s="3"/>
      <c r="D55" s="3"/>
      <c r="E55" s="3"/>
      <c r="F55" s="3"/>
      <c r="G55" s="4"/>
      <c r="H55" s="4"/>
      <c r="I55" s="3"/>
      <c r="J55" s="3"/>
      <c r="K55" s="3"/>
      <c r="L55" s="4"/>
      <c r="M55" s="4"/>
      <c r="N55" s="5"/>
      <c r="O55" s="4"/>
      <c r="P55" s="4"/>
      <c r="Q55" s="4"/>
      <c r="R55" s="4"/>
      <c r="S55" s="4"/>
      <c r="T55" s="4"/>
      <c r="U55" s="4"/>
      <c r="V55" s="3"/>
      <c r="W55" s="3"/>
      <c r="X55" s="3"/>
      <c r="Y55" s="3"/>
      <c r="Z55" s="3"/>
      <c r="AA55" s="3"/>
      <c r="AB55" s="3"/>
      <c r="AC55" s="4"/>
      <c r="AD55" s="4"/>
      <c r="AE55" s="4"/>
      <c r="AF55" s="4"/>
      <c r="AG55" s="4"/>
      <c r="AH55" s="4"/>
      <c r="AI55" s="4"/>
      <c r="AJ55" s="3"/>
    </row>
    <row r="56" spans="1:36" ht="13.5" customHeight="1" x14ac:dyDescent="0.25">
      <c r="A56" s="3"/>
      <c r="B56" s="3"/>
      <c r="C56" s="3"/>
      <c r="D56" s="3"/>
      <c r="E56" s="3"/>
      <c r="F56" s="3"/>
      <c r="G56" s="4"/>
      <c r="H56" s="4"/>
      <c r="I56" s="3"/>
      <c r="J56" s="3"/>
      <c r="K56" s="3"/>
      <c r="L56" s="4"/>
      <c r="M56" s="4"/>
      <c r="N56" s="5"/>
      <c r="O56" s="4"/>
      <c r="P56" s="4"/>
      <c r="Q56" s="4"/>
      <c r="R56" s="4"/>
      <c r="S56" s="4"/>
      <c r="T56" s="4"/>
      <c r="U56" s="4"/>
      <c r="V56" s="3"/>
      <c r="W56" s="3"/>
      <c r="X56" s="3"/>
      <c r="Y56" s="3"/>
      <c r="Z56" s="3"/>
      <c r="AA56" s="3"/>
      <c r="AB56" s="3"/>
      <c r="AC56" s="4"/>
      <c r="AD56" s="4"/>
      <c r="AE56" s="4"/>
      <c r="AF56" s="4"/>
      <c r="AG56" s="4"/>
      <c r="AH56" s="4"/>
      <c r="AI56" s="4"/>
      <c r="AJ56" s="3"/>
    </row>
    <row r="57" spans="1:36" ht="13.5" customHeight="1" x14ac:dyDescent="0.25">
      <c r="A57" s="3"/>
      <c r="B57" s="3"/>
      <c r="C57" s="3"/>
      <c r="D57" s="3"/>
      <c r="E57" s="3"/>
      <c r="F57" s="3"/>
      <c r="G57" s="4"/>
      <c r="H57" s="4"/>
      <c r="I57" s="3"/>
      <c r="J57" s="3"/>
      <c r="K57" s="3"/>
      <c r="L57" s="4"/>
      <c r="M57" s="4"/>
      <c r="N57" s="5"/>
      <c r="O57" s="4"/>
      <c r="P57" s="4"/>
      <c r="Q57" s="4"/>
      <c r="R57" s="4"/>
      <c r="S57" s="4"/>
      <c r="T57" s="4"/>
      <c r="U57" s="4"/>
      <c r="V57" s="3"/>
      <c r="W57" s="3"/>
      <c r="X57" s="3"/>
      <c r="Y57" s="3"/>
      <c r="Z57" s="3"/>
      <c r="AA57" s="3"/>
      <c r="AB57" s="3"/>
      <c r="AC57" s="4"/>
      <c r="AD57" s="4"/>
      <c r="AE57" s="4"/>
      <c r="AF57" s="4"/>
      <c r="AG57" s="4"/>
      <c r="AH57" s="4"/>
      <c r="AI57" s="4"/>
      <c r="AJ57" s="3"/>
    </row>
    <row r="58" spans="1:36" ht="13.5" customHeight="1" x14ac:dyDescent="0.25">
      <c r="A58" s="3"/>
      <c r="B58" s="3"/>
      <c r="C58" s="3"/>
      <c r="D58" s="3"/>
      <c r="E58" s="3"/>
      <c r="F58" s="3"/>
      <c r="G58" s="4"/>
      <c r="H58" s="4"/>
      <c r="I58" s="3"/>
      <c r="J58" s="3"/>
      <c r="K58" s="3"/>
      <c r="L58" s="4"/>
      <c r="M58" s="4"/>
      <c r="N58" s="5"/>
      <c r="O58" s="4"/>
      <c r="P58" s="4"/>
      <c r="Q58" s="4"/>
      <c r="R58" s="4"/>
      <c r="S58" s="4"/>
      <c r="T58" s="4"/>
      <c r="U58" s="4"/>
      <c r="V58" s="3"/>
      <c r="W58" s="3"/>
      <c r="X58" s="3"/>
      <c r="Y58" s="3"/>
      <c r="Z58" s="3"/>
      <c r="AA58" s="3"/>
      <c r="AB58" s="3"/>
      <c r="AC58" s="4"/>
      <c r="AD58" s="4"/>
      <c r="AE58" s="4"/>
      <c r="AF58" s="4"/>
      <c r="AG58" s="4"/>
      <c r="AH58" s="4"/>
      <c r="AI58" s="4"/>
      <c r="AJ58" s="3"/>
    </row>
    <row r="59" spans="1:36" ht="13.5" customHeight="1" x14ac:dyDescent="0.25">
      <c r="A59" s="3"/>
      <c r="B59" s="3"/>
      <c r="C59" s="3"/>
      <c r="D59" s="3"/>
      <c r="E59" s="3"/>
      <c r="F59" s="3"/>
      <c r="G59" s="4"/>
      <c r="H59" s="4"/>
      <c r="I59" s="3"/>
      <c r="J59" s="3"/>
      <c r="K59" s="3"/>
      <c r="L59" s="4"/>
      <c r="M59" s="4"/>
      <c r="N59" s="5"/>
      <c r="O59" s="4"/>
      <c r="P59" s="4"/>
      <c r="Q59" s="4"/>
      <c r="R59" s="4"/>
      <c r="S59" s="4"/>
      <c r="T59" s="4"/>
      <c r="U59" s="4"/>
      <c r="V59" s="3"/>
      <c r="W59" s="3"/>
      <c r="X59" s="3"/>
      <c r="Y59" s="3"/>
      <c r="Z59" s="3"/>
      <c r="AA59" s="3"/>
      <c r="AB59" s="3"/>
      <c r="AC59" s="4"/>
      <c r="AD59" s="4"/>
      <c r="AE59" s="4"/>
      <c r="AF59" s="4"/>
      <c r="AG59" s="4"/>
      <c r="AH59" s="4"/>
      <c r="AI59" s="4"/>
      <c r="AJ59" s="3"/>
    </row>
    <row r="60" spans="1:36" ht="13.5" customHeight="1" x14ac:dyDescent="0.25">
      <c r="A60" s="3"/>
      <c r="B60" s="3"/>
      <c r="C60" s="3"/>
      <c r="D60" s="3"/>
      <c r="E60" s="3"/>
      <c r="F60" s="3"/>
      <c r="G60" s="4"/>
      <c r="H60" s="4"/>
      <c r="I60" s="3"/>
      <c r="J60" s="3"/>
      <c r="K60" s="3"/>
      <c r="L60" s="4"/>
      <c r="M60" s="4"/>
      <c r="N60" s="5"/>
      <c r="O60" s="4"/>
      <c r="P60" s="4"/>
      <c r="Q60" s="4"/>
      <c r="R60" s="4"/>
      <c r="S60" s="4"/>
      <c r="T60" s="4"/>
      <c r="U60" s="4"/>
      <c r="V60" s="3"/>
      <c r="W60" s="3"/>
      <c r="X60" s="3"/>
      <c r="Y60" s="3"/>
      <c r="Z60" s="3"/>
      <c r="AA60" s="3"/>
      <c r="AB60" s="3"/>
      <c r="AC60" s="4"/>
      <c r="AD60" s="4"/>
      <c r="AE60" s="4"/>
      <c r="AF60" s="4"/>
      <c r="AG60" s="4"/>
      <c r="AH60" s="4"/>
      <c r="AI60" s="4"/>
      <c r="AJ60" s="3"/>
    </row>
    <row r="61" spans="1:36" ht="13.5" customHeight="1" x14ac:dyDescent="0.25">
      <c r="A61" s="3"/>
      <c r="B61" s="3"/>
      <c r="C61" s="3"/>
      <c r="D61" s="3"/>
      <c r="E61" s="3"/>
      <c r="F61" s="3"/>
      <c r="G61" s="4"/>
      <c r="H61" s="4"/>
      <c r="I61" s="3"/>
      <c r="J61" s="3"/>
      <c r="K61" s="3"/>
      <c r="L61" s="4"/>
      <c r="M61" s="4"/>
      <c r="N61" s="5"/>
      <c r="O61" s="4"/>
      <c r="P61" s="4"/>
      <c r="Q61" s="4"/>
      <c r="R61" s="4"/>
      <c r="S61" s="4"/>
      <c r="T61" s="4"/>
      <c r="U61" s="4"/>
      <c r="V61" s="3"/>
      <c r="W61" s="3"/>
      <c r="X61" s="3"/>
      <c r="Y61" s="3"/>
      <c r="Z61" s="3"/>
      <c r="AA61" s="3"/>
      <c r="AB61" s="3"/>
      <c r="AC61" s="4"/>
      <c r="AD61" s="4"/>
      <c r="AE61" s="4"/>
      <c r="AF61" s="4"/>
      <c r="AG61" s="4"/>
      <c r="AH61" s="4"/>
      <c r="AI61" s="4"/>
      <c r="AJ61" s="3"/>
    </row>
    <row r="62" spans="1:36" ht="13.5" customHeight="1" x14ac:dyDescent="0.25">
      <c r="A62" s="3"/>
      <c r="B62" s="3"/>
      <c r="C62" s="3"/>
      <c r="D62" s="3"/>
      <c r="E62" s="3"/>
      <c r="F62" s="3"/>
      <c r="G62" s="4"/>
      <c r="H62" s="4"/>
      <c r="I62" s="3"/>
      <c r="J62" s="3"/>
      <c r="K62" s="3"/>
      <c r="L62" s="4"/>
      <c r="M62" s="4"/>
      <c r="N62" s="5"/>
      <c r="O62" s="4"/>
      <c r="P62" s="4"/>
      <c r="Q62" s="4"/>
      <c r="R62" s="4"/>
      <c r="S62" s="4"/>
      <c r="T62" s="4"/>
      <c r="U62" s="4"/>
      <c r="V62" s="3"/>
      <c r="W62" s="3"/>
      <c r="X62" s="3"/>
      <c r="Y62" s="3"/>
      <c r="Z62" s="3"/>
      <c r="AA62" s="3"/>
      <c r="AB62" s="3"/>
      <c r="AC62" s="4"/>
      <c r="AD62" s="4"/>
      <c r="AE62" s="4"/>
      <c r="AF62" s="4"/>
      <c r="AG62" s="4"/>
      <c r="AH62" s="4"/>
      <c r="AI62" s="4"/>
      <c r="AJ62" s="3"/>
    </row>
    <row r="63" spans="1:36" ht="13.5" customHeight="1" x14ac:dyDescent="0.25">
      <c r="A63" s="3"/>
      <c r="B63" s="3"/>
      <c r="C63" s="3"/>
      <c r="D63" s="3"/>
      <c r="E63" s="3"/>
      <c r="F63" s="3"/>
      <c r="G63" s="4"/>
      <c r="H63" s="4"/>
      <c r="I63" s="3"/>
      <c r="J63" s="3"/>
      <c r="K63" s="3"/>
      <c r="L63" s="4"/>
      <c r="M63" s="4"/>
      <c r="N63" s="5"/>
      <c r="O63" s="4"/>
      <c r="P63" s="4"/>
      <c r="Q63" s="4"/>
      <c r="R63" s="4"/>
      <c r="S63" s="4"/>
      <c r="T63" s="4"/>
      <c r="U63" s="4"/>
      <c r="V63" s="3"/>
      <c r="W63" s="3"/>
      <c r="X63" s="3"/>
      <c r="Y63" s="3"/>
      <c r="Z63" s="3"/>
      <c r="AA63" s="3"/>
      <c r="AB63" s="3"/>
      <c r="AC63" s="4"/>
      <c r="AD63" s="4"/>
      <c r="AE63" s="4"/>
      <c r="AF63" s="4"/>
      <c r="AG63" s="4"/>
      <c r="AH63" s="4"/>
      <c r="AI63" s="4"/>
      <c r="AJ63" s="3"/>
    </row>
    <row r="64" spans="1:36" ht="13.5" customHeight="1" x14ac:dyDescent="0.25">
      <c r="A64" s="3"/>
      <c r="B64" s="3"/>
      <c r="C64" s="3"/>
      <c r="D64" s="3"/>
      <c r="E64" s="3"/>
      <c r="F64" s="3"/>
      <c r="G64" s="4"/>
      <c r="H64" s="4"/>
      <c r="I64" s="3"/>
      <c r="J64" s="3"/>
      <c r="K64" s="3"/>
      <c r="L64" s="4"/>
      <c r="M64" s="4"/>
      <c r="N64" s="5"/>
      <c r="O64" s="4"/>
      <c r="P64" s="4"/>
      <c r="Q64" s="4"/>
      <c r="R64" s="4"/>
      <c r="S64" s="4"/>
      <c r="T64" s="4"/>
      <c r="U64" s="4"/>
      <c r="V64" s="3"/>
      <c r="W64" s="3"/>
      <c r="X64" s="3"/>
      <c r="Y64" s="3"/>
      <c r="Z64" s="3"/>
      <c r="AA64" s="3"/>
      <c r="AB64" s="3"/>
      <c r="AC64" s="4"/>
      <c r="AD64" s="4"/>
      <c r="AE64" s="4"/>
      <c r="AF64" s="4"/>
      <c r="AG64" s="4"/>
      <c r="AH64" s="4"/>
      <c r="AI64" s="4"/>
      <c r="AJ64" s="3"/>
    </row>
    <row r="65" spans="1:36" ht="13.5" customHeight="1" x14ac:dyDescent="0.25">
      <c r="A65" s="3"/>
      <c r="B65" s="3"/>
      <c r="C65" s="3"/>
      <c r="D65" s="3"/>
      <c r="E65" s="3"/>
      <c r="F65" s="3"/>
      <c r="G65" s="4"/>
      <c r="H65" s="4"/>
      <c r="I65" s="3"/>
      <c r="J65" s="3"/>
      <c r="K65" s="3"/>
      <c r="L65" s="4"/>
      <c r="M65" s="4"/>
      <c r="N65" s="5"/>
      <c r="O65" s="4"/>
      <c r="P65" s="4"/>
      <c r="Q65" s="4"/>
      <c r="R65" s="4"/>
      <c r="S65" s="4"/>
      <c r="T65" s="4"/>
      <c r="U65" s="4"/>
      <c r="V65" s="3"/>
      <c r="W65" s="3"/>
      <c r="X65" s="3"/>
      <c r="Y65" s="3"/>
      <c r="Z65" s="3"/>
      <c r="AA65" s="3"/>
      <c r="AB65" s="3"/>
      <c r="AC65" s="4"/>
      <c r="AD65" s="4"/>
      <c r="AE65" s="4"/>
      <c r="AF65" s="4"/>
      <c r="AG65" s="4"/>
      <c r="AH65" s="4"/>
      <c r="AI65" s="4"/>
      <c r="AJ65" s="3"/>
    </row>
    <row r="66" spans="1:36" ht="13.5" customHeight="1" x14ac:dyDescent="0.25">
      <c r="A66" s="3"/>
      <c r="B66" s="3"/>
      <c r="C66" s="3"/>
      <c r="D66" s="3"/>
      <c r="E66" s="3"/>
      <c r="F66" s="3"/>
      <c r="G66" s="4"/>
      <c r="H66" s="4"/>
      <c r="I66" s="3"/>
      <c r="J66" s="3"/>
      <c r="K66" s="3"/>
      <c r="L66" s="4"/>
      <c r="M66" s="4"/>
      <c r="N66" s="5"/>
      <c r="O66" s="4"/>
      <c r="P66" s="4"/>
      <c r="Q66" s="4"/>
      <c r="R66" s="4"/>
      <c r="S66" s="4"/>
      <c r="T66" s="4"/>
      <c r="U66" s="4"/>
      <c r="V66" s="3"/>
      <c r="W66" s="3"/>
      <c r="X66" s="3"/>
      <c r="Y66" s="3"/>
      <c r="Z66" s="3"/>
      <c r="AA66" s="3"/>
      <c r="AB66" s="3"/>
      <c r="AC66" s="4"/>
      <c r="AD66" s="4"/>
      <c r="AE66" s="4"/>
      <c r="AF66" s="4"/>
      <c r="AG66" s="4"/>
      <c r="AH66" s="4"/>
      <c r="AI66" s="4"/>
      <c r="AJ66" s="3"/>
    </row>
    <row r="67" spans="1:36" ht="13.5" customHeight="1" x14ac:dyDescent="0.25">
      <c r="A67" s="3"/>
      <c r="B67" s="3"/>
      <c r="C67" s="3"/>
      <c r="D67" s="3"/>
      <c r="E67" s="3"/>
      <c r="F67" s="3"/>
      <c r="G67" s="4"/>
      <c r="H67" s="4"/>
      <c r="I67" s="3"/>
      <c r="J67" s="3"/>
      <c r="K67" s="3"/>
      <c r="L67" s="4"/>
      <c r="M67" s="4"/>
      <c r="N67" s="5"/>
      <c r="O67" s="4"/>
      <c r="P67" s="4"/>
      <c r="Q67" s="4"/>
      <c r="R67" s="4"/>
      <c r="S67" s="4"/>
      <c r="T67" s="4"/>
      <c r="U67" s="4"/>
      <c r="V67" s="3"/>
      <c r="W67" s="3"/>
      <c r="X67" s="3"/>
      <c r="Y67" s="3"/>
      <c r="Z67" s="3"/>
      <c r="AA67" s="3"/>
      <c r="AB67" s="3"/>
      <c r="AC67" s="4"/>
      <c r="AD67" s="4"/>
      <c r="AE67" s="4"/>
      <c r="AF67" s="4"/>
      <c r="AG67" s="4"/>
      <c r="AH67" s="4"/>
      <c r="AI67" s="4"/>
      <c r="AJ67" s="3"/>
    </row>
    <row r="68" spans="1:36" ht="13.5" customHeight="1" x14ac:dyDescent="0.25">
      <c r="A68" s="3"/>
      <c r="B68" s="3"/>
      <c r="C68" s="3"/>
      <c r="D68" s="3"/>
      <c r="E68" s="3"/>
      <c r="F68" s="3"/>
      <c r="G68" s="4"/>
      <c r="H68" s="4"/>
      <c r="I68" s="3"/>
      <c r="J68" s="3"/>
      <c r="K68" s="3"/>
      <c r="L68" s="4"/>
      <c r="M68" s="4"/>
      <c r="N68" s="5"/>
      <c r="O68" s="4"/>
      <c r="P68" s="4"/>
      <c r="Q68" s="4"/>
      <c r="R68" s="4"/>
      <c r="S68" s="4"/>
      <c r="T68" s="4"/>
      <c r="U68" s="4"/>
      <c r="V68" s="3"/>
      <c r="W68" s="3"/>
      <c r="X68" s="3"/>
      <c r="Y68" s="3"/>
      <c r="Z68" s="3"/>
      <c r="AA68" s="3"/>
      <c r="AB68" s="3"/>
      <c r="AC68" s="4"/>
      <c r="AD68" s="4"/>
      <c r="AE68" s="4"/>
      <c r="AF68" s="4"/>
      <c r="AG68" s="4"/>
      <c r="AH68" s="4"/>
      <c r="AI68" s="4"/>
      <c r="AJ68" s="3"/>
    </row>
    <row r="69" spans="1:36" ht="13.5" customHeight="1" x14ac:dyDescent="0.25">
      <c r="A69" s="3"/>
      <c r="B69" s="3"/>
      <c r="C69" s="3"/>
      <c r="D69" s="3"/>
      <c r="E69" s="3"/>
      <c r="F69" s="3"/>
      <c r="G69" s="4"/>
      <c r="H69" s="4"/>
      <c r="I69" s="3"/>
      <c r="J69" s="3"/>
      <c r="K69" s="3"/>
      <c r="L69" s="4"/>
      <c r="M69" s="4"/>
      <c r="N69" s="5"/>
      <c r="O69" s="4"/>
      <c r="P69" s="4"/>
      <c r="Q69" s="4"/>
      <c r="R69" s="4"/>
      <c r="S69" s="4"/>
      <c r="T69" s="4"/>
      <c r="U69" s="4"/>
      <c r="V69" s="3"/>
      <c r="W69" s="3"/>
      <c r="X69" s="3"/>
      <c r="Y69" s="3"/>
      <c r="Z69" s="3"/>
      <c r="AA69" s="3"/>
      <c r="AB69" s="3"/>
      <c r="AC69" s="4"/>
      <c r="AD69" s="4"/>
      <c r="AE69" s="4"/>
      <c r="AF69" s="4"/>
      <c r="AG69" s="4"/>
      <c r="AH69" s="4"/>
      <c r="AI69" s="4"/>
      <c r="AJ69" s="3"/>
    </row>
    <row r="70" spans="1:36" ht="13.5" customHeight="1" x14ac:dyDescent="0.25">
      <c r="A70" s="3"/>
      <c r="B70" s="3"/>
      <c r="C70" s="3"/>
      <c r="D70" s="3"/>
      <c r="E70" s="3"/>
      <c r="F70" s="3"/>
      <c r="G70" s="4"/>
      <c r="H70" s="4"/>
      <c r="I70" s="3"/>
      <c r="J70" s="3"/>
      <c r="K70" s="3"/>
      <c r="L70" s="4"/>
      <c r="M70" s="4"/>
      <c r="N70" s="5"/>
      <c r="O70" s="4"/>
      <c r="P70" s="4"/>
      <c r="Q70" s="4"/>
      <c r="R70" s="4"/>
      <c r="S70" s="4"/>
      <c r="T70" s="4"/>
      <c r="U70" s="4"/>
      <c r="V70" s="3"/>
      <c r="W70" s="3"/>
      <c r="X70" s="3"/>
      <c r="Y70" s="3"/>
      <c r="Z70" s="3"/>
      <c r="AA70" s="3"/>
      <c r="AB70" s="3"/>
      <c r="AC70" s="4"/>
      <c r="AD70" s="4"/>
      <c r="AE70" s="4"/>
      <c r="AF70" s="4"/>
      <c r="AG70" s="4"/>
      <c r="AH70" s="4"/>
      <c r="AI70" s="4"/>
      <c r="AJ70" s="3"/>
    </row>
    <row r="71" spans="1:36" ht="13.5" customHeight="1" x14ac:dyDescent="0.25">
      <c r="A71" s="3"/>
      <c r="B71" s="3"/>
      <c r="C71" s="3"/>
      <c r="D71" s="3"/>
      <c r="E71" s="3"/>
      <c r="F71" s="3"/>
      <c r="G71" s="4"/>
      <c r="H71" s="4"/>
      <c r="I71" s="3"/>
      <c r="J71" s="3"/>
      <c r="K71" s="3"/>
      <c r="L71" s="4"/>
      <c r="M71" s="4"/>
      <c r="N71" s="5"/>
      <c r="O71" s="4"/>
      <c r="P71" s="4"/>
      <c r="Q71" s="4"/>
      <c r="R71" s="4"/>
      <c r="S71" s="4"/>
      <c r="T71" s="4"/>
      <c r="U71" s="4"/>
      <c r="V71" s="3"/>
      <c r="W71" s="3"/>
      <c r="X71" s="3"/>
      <c r="Y71" s="3"/>
      <c r="Z71" s="3"/>
      <c r="AA71" s="3"/>
      <c r="AB71" s="3"/>
      <c r="AC71" s="4"/>
      <c r="AD71" s="4"/>
      <c r="AE71" s="4"/>
      <c r="AF71" s="4"/>
      <c r="AG71" s="4"/>
      <c r="AH71" s="4"/>
      <c r="AI71" s="4"/>
      <c r="AJ71" s="3"/>
    </row>
    <row r="72" spans="1:36" ht="13.5" customHeight="1" x14ac:dyDescent="0.25">
      <c r="A72" s="3"/>
      <c r="B72" s="3"/>
      <c r="C72" s="3"/>
      <c r="D72" s="3"/>
      <c r="E72" s="3"/>
      <c r="F72" s="3"/>
      <c r="G72" s="4"/>
      <c r="H72" s="4"/>
      <c r="I72" s="3"/>
      <c r="J72" s="3"/>
      <c r="K72" s="3"/>
      <c r="L72" s="4"/>
      <c r="M72" s="4"/>
      <c r="N72" s="5"/>
      <c r="O72" s="4"/>
      <c r="P72" s="4"/>
      <c r="Q72" s="4"/>
      <c r="R72" s="4"/>
      <c r="S72" s="4"/>
      <c r="T72" s="4"/>
      <c r="U72" s="4"/>
      <c r="V72" s="3"/>
      <c r="W72" s="3"/>
      <c r="X72" s="3"/>
      <c r="Y72" s="3"/>
      <c r="Z72" s="3"/>
      <c r="AA72" s="3"/>
      <c r="AB72" s="3"/>
      <c r="AC72" s="4"/>
      <c r="AD72" s="4"/>
      <c r="AE72" s="4"/>
      <c r="AF72" s="4"/>
      <c r="AG72" s="4"/>
      <c r="AH72" s="4"/>
      <c r="AI72" s="4"/>
      <c r="AJ72" s="3"/>
    </row>
    <row r="73" spans="1:36" ht="13.5" customHeight="1" x14ac:dyDescent="0.25">
      <c r="A73" s="3"/>
      <c r="B73" s="3"/>
      <c r="C73" s="3"/>
      <c r="D73" s="3"/>
      <c r="E73" s="3"/>
      <c r="F73" s="3"/>
      <c r="G73" s="4"/>
      <c r="H73" s="4"/>
      <c r="I73" s="3"/>
      <c r="J73" s="3"/>
      <c r="K73" s="3"/>
      <c r="L73" s="4"/>
      <c r="M73" s="4"/>
      <c r="N73" s="5"/>
      <c r="O73" s="4"/>
      <c r="P73" s="4"/>
      <c r="Q73" s="4"/>
      <c r="R73" s="4"/>
      <c r="S73" s="4"/>
      <c r="T73" s="4"/>
      <c r="U73" s="4"/>
      <c r="V73" s="3"/>
      <c r="W73" s="3"/>
      <c r="X73" s="3"/>
      <c r="Y73" s="3"/>
      <c r="Z73" s="3"/>
      <c r="AA73" s="3"/>
      <c r="AB73" s="3"/>
      <c r="AC73" s="4"/>
      <c r="AD73" s="4"/>
      <c r="AE73" s="4"/>
      <c r="AF73" s="4"/>
      <c r="AG73" s="4"/>
      <c r="AH73" s="4"/>
      <c r="AI73" s="4"/>
      <c r="AJ73" s="3"/>
    </row>
    <row r="74" spans="1:36" ht="13.5" customHeight="1" x14ac:dyDescent="0.25">
      <c r="A74" s="3"/>
      <c r="B74" s="3"/>
      <c r="C74" s="3"/>
      <c r="D74" s="3"/>
      <c r="E74" s="3"/>
      <c r="F74" s="3"/>
      <c r="G74" s="4"/>
      <c r="H74" s="4"/>
      <c r="I74" s="3"/>
      <c r="J74" s="3"/>
      <c r="K74" s="3"/>
      <c r="L74" s="4"/>
      <c r="M74" s="4"/>
      <c r="N74" s="5"/>
      <c r="O74" s="4"/>
      <c r="P74" s="4"/>
      <c r="Q74" s="4"/>
      <c r="R74" s="4"/>
      <c r="S74" s="4"/>
      <c r="T74" s="4"/>
      <c r="U74" s="4"/>
      <c r="V74" s="3"/>
      <c r="W74" s="3"/>
      <c r="X74" s="3"/>
      <c r="Y74" s="3"/>
      <c r="Z74" s="3"/>
      <c r="AA74" s="3"/>
      <c r="AB74" s="3"/>
      <c r="AC74" s="4"/>
      <c r="AD74" s="4"/>
      <c r="AE74" s="4"/>
      <c r="AF74" s="4"/>
      <c r="AG74" s="4"/>
      <c r="AH74" s="4"/>
      <c r="AI74" s="4"/>
      <c r="AJ74" s="3"/>
    </row>
    <row r="75" spans="1:36" ht="13.5" customHeight="1" x14ac:dyDescent="0.25">
      <c r="A75" s="3"/>
      <c r="B75" s="3"/>
      <c r="C75" s="3"/>
      <c r="D75" s="3"/>
      <c r="E75" s="3"/>
      <c r="F75" s="3"/>
      <c r="G75" s="4"/>
      <c r="H75" s="4"/>
      <c r="I75" s="3"/>
      <c r="J75" s="3"/>
      <c r="K75" s="3"/>
      <c r="L75" s="4"/>
      <c r="M75" s="4"/>
      <c r="N75" s="5"/>
      <c r="O75" s="4"/>
      <c r="P75" s="4"/>
      <c r="Q75" s="4"/>
      <c r="R75" s="4"/>
      <c r="S75" s="4"/>
      <c r="T75" s="4"/>
      <c r="U75" s="4"/>
      <c r="V75" s="3"/>
      <c r="W75" s="3"/>
      <c r="X75" s="3"/>
      <c r="Y75" s="3"/>
      <c r="Z75" s="3"/>
      <c r="AA75" s="3"/>
      <c r="AB75" s="3"/>
      <c r="AC75" s="4"/>
      <c r="AD75" s="4"/>
      <c r="AE75" s="4"/>
      <c r="AF75" s="4"/>
      <c r="AG75" s="4"/>
      <c r="AH75" s="4"/>
      <c r="AI75" s="4"/>
      <c r="AJ75" s="3"/>
    </row>
    <row r="76" spans="1:36" ht="13.5" customHeight="1" x14ac:dyDescent="0.25">
      <c r="A76" s="3"/>
      <c r="B76" s="3"/>
      <c r="C76" s="3"/>
      <c r="D76" s="3"/>
      <c r="E76" s="3"/>
      <c r="F76" s="3"/>
      <c r="G76" s="4"/>
      <c r="H76" s="4"/>
      <c r="I76" s="3"/>
      <c r="J76" s="3"/>
      <c r="K76" s="3"/>
      <c r="L76" s="4"/>
      <c r="M76" s="4"/>
      <c r="N76" s="5"/>
      <c r="O76" s="4"/>
      <c r="P76" s="4"/>
      <c r="Q76" s="4"/>
      <c r="R76" s="4"/>
      <c r="S76" s="4"/>
      <c r="T76" s="4"/>
      <c r="U76" s="4"/>
      <c r="V76" s="3"/>
      <c r="W76" s="3"/>
      <c r="X76" s="3"/>
      <c r="Y76" s="3"/>
      <c r="Z76" s="3"/>
      <c r="AA76" s="3"/>
      <c r="AB76" s="3"/>
      <c r="AC76" s="4"/>
      <c r="AD76" s="4"/>
      <c r="AE76" s="4"/>
      <c r="AF76" s="4"/>
      <c r="AG76" s="4"/>
      <c r="AH76" s="4"/>
      <c r="AI76" s="4"/>
      <c r="AJ76" s="3"/>
    </row>
    <row r="77" spans="1:36" ht="13.5" customHeight="1" x14ac:dyDescent="0.25">
      <c r="A77" s="3"/>
      <c r="B77" s="3"/>
      <c r="C77" s="3"/>
      <c r="D77" s="3"/>
      <c r="E77" s="3"/>
      <c r="F77" s="3"/>
      <c r="G77" s="4"/>
      <c r="H77" s="4"/>
      <c r="I77" s="3"/>
      <c r="J77" s="3"/>
      <c r="K77" s="3"/>
      <c r="L77" s="4"/>
      <c r="M77" s="4"/>
      <c r="N77" s="5"/>
      <c r="O77" s="4"/>
      <c r="P77" s="4"/>
      <c r="Q77" s="4"/>
      <c r="R77" s="4"/>
      <c r="S77" s="4"/>
      <c r="T77" s="4"/>
      <c r="U77" s="4"/>
      <c r="V77" s="3"/>
      <c r="W77" s="3"/>
      <c r="X77" s="3"/>
      <c r="Y77" s="3"/>
      <c r="Z77" s="3"/>
      <c r="AA77" s="3"/>
      <c r="AB77" s="3"/>
      <c r="AC77" s="4"/>
      <c r="AD77" s="4"/>
      <c r="AE77" s="4"/>
      <c r="AF77" s="4"/>
      <c r="AG77" s="4"/>
      <c r="AH77" s="4"/>
      <c r="AI77" s="4"/>
      <c r="AJ77" s="3"/>
    </row>
    <row r="78" spans="1:36" ht="13.5" customHeight="1" x14ac:dyDescent="0.25">
      <c r="A78" s="3"/>
      <c r="B78" s="3"/>
      <c r="C78" s="3"/>
      <c r="D78" s="3"/>
      <c r="E78" s="3"/>
      <c r="F78" s="3"/>
      <c r="G78" s="4"/>
      <c r="H78" s="4"/>
      <c r="I78" s="3"/>
      <c r="J78" s="3"/>
      <c r="K78" s="3"/>
      <c r="L78" s="4"/>
      <c r="M78" s="4"/>
      <c r="N78" s="5"/>
      <c r="O78" s="4"/>
      <c r="P78" s="4"/>
      <c r="Q78" s="4"/>
      <c r="R78" s="4"/>
      <c r="S78" s="4"/>
      <c r="T78" s="4"/>
      <c r="U78" s="4"/>
      <c r="V78" s="3"/>
      <c r="W78" s="3"/>
      <c r="X78" s="3"/>
      <c r="Y78" s="3"/>
      <c r="Z78" s="3"/>
      <c r="AA78" s="3"/>
      <c r="AB78" s="3"/>
      <c r="AC78" s="4"/>
      <c r="AD78" s="4"/>
      <c r="AE78" s="4"/>
      <c r="AF78" s="4"/>
      <c r="AG78" s="4"/>
      <c r="AH78" s="4"/>
      <c r="AI78" s="4"/>
      <c r="AJ78" s="3"/>
    </row>
    <row r="79" spans="1:36" ht="13.5" customHeight="1" x14ac:dyDescent="0.25">
      <c r="A79" s="3"/>
      <c r="B79" s="3"/>
      <c r="C79" s="3"/>
      <c r="D79" s="3"/>
      <c r="E79" s="3"/>
      <c r="F79" s="3"/>
      <c r="G79" s="4"/>
      <c r="H79" s="4"/>
      <c r="I79" s="3"/>
      <c r="J79" s="3"/>
      <c r="K79" s="3"/>
      <c r="L79" s="4"/>
      <c r="M79" s="4"/>
      <c r="N79" s="5"/>
      <c r="O79" s="4"/>
      <c r="P79" s="4"/>
      <c r="Q79" s="4"/>
      <c r="R79" s="4"/>
      <c r="S79" s="4"/>
      <c r="T79" s="4"/>
      <c r="U79" s="4"/>
      <c r="V79" s="3"/>
      <c r="W79" s="3"/>
      <c r="X79" s="3"/>
      <c r="Y79" s="3"/>
      <c r="Z79" s="3"/>
      <c r="AA79" s="3"/>
      <c r="AB79" s="3"/>
      <c r="AC79" s="4"/>
      <c r="AD79" s="4"/>
      <c r="AE79" s="4"/>
      <c r="AF79" s="4"/>
      <c r="AG79" s="4"/>
      <c r="AH79" s="4"/>
      <c r="AI79" s="4"/>
      <c r="AJ79" s="3"/>
    </row>
    <row r="80" spans="1:36" ht="13.5" customHeight="1" x14ac:dyDescent="0.25">
      <c r="A80" s="3"/>
      <c r="B80" s="3"/>
      <c r="C80" s="3"/>
      <c r="D80" s="3"/>
      <c r="E80" s="3"/>
      <c r="F80" s="3"/>
      <c r="G80" s="4"/>
      <c r="H80" s="4"/>
      <c r="I80" s="3"/>
      <c r="J80" s="3"/>
      <c r="K80" s="3"/>
      <c r="L80" s="4"/>
      <c r="M80" s="4"/>
      <c r="N80" s="5"/>
      <c r="O80" s="4"/>
      <c r="P80" s="4"/>
      <c r="Q80" s="4"/>
      <c r="R80" s="4"/>
      <c r="S80" s="4"/>
      <c r="T80" s="4"/>
      <c r="U80" s="4"/>
      <c r="V80" s="3"/>
      <c r="W80" s="3"/>
      <c r="X80" s="3"/>
      <c r="Y80" s="3"/>
      <c r="Z80" s="3"/>
      <c r="AA80" s="3"/>
      <c r="AB80" s="3"/>
      <c r="AC80" s="4"/>
      <c r="AD80" s="4"/>
      <c r="AE80" s="4"/>
      <c r="AF80" s="4"/>
      <c r="AG80" s="4"/>
      <c r="AH80" s="4"/>
      <c r="AI80" s="4"/>
      <c r="AJ80" s="3"/>
    </row>
    <row r="81" spans="1:36" ht="13.5" customHeight="1" x14ac:dyDescent="0.25">
      <c r="A81" s="3"/>
      <c r="B81" s="3"/>
      <c r="C81" s="3"/>
      <c r="D81" s="3"/>
      <c r="E81" s="3"/>
      <c r="F81" s="3"/>
      <c r="G81" s="4"/>
      <c r="H81" s="4"/>
      <c r="I81" s="3"/>
      <c r="J81" s="3"/>
      <c r="K81" s="3"/>
      <c r="L81" s="4"/>
      <c r="M81" s="4"/>
      <c r="N81" s="5"/>
      <c r="O81" s="4"/>
      <c r="P81" s="4"/>
      <c r="Q81" s="4"/>
      <c r="R81" s="4"/>
      <c r="S81" s="4"/>
      <c r="T81" s="4"/>
      <c r="U81" s="4"/>
      <c r="V81" s="3"/>
      <c r="W81" s="3"/>
      <c r="X81" s="3"/>
      <c r="Y81" s="3"/>
      <c r="Z81" s="3"/>
      <c r="AA81" s="3"/>
      <c r="AB81" s="3"/>
      <c r="AC81" s="4"/>
      <c r="AD81" s="4"/>
      <c r="AE81" s="4"/>
      <c r="AF81" s="4"/>
      <c r="AG81" s="4"/>
      <c r="AH81" s="4"/>
      <c r="AI81" s="4"/>
      <c r="AJ81" s="3"/>
    </row>
    <row r="82" spans="1:36" ht="13.5" customHeight="1" x14ac:dyDescent="0.25">
      <c r="A82" s="3"/>
      <c r="B82" s="3"/>
      <c r="C82" s="3"/>
      <c r="D82" s="3"/>
      <c r="E82" s="3"/>
      <c r="F82" s="3"/>
      <c r="G82" s="4"/>
      <c r="H82" s="4"/>
      <c r="I82" s="3"/>
      <c r="J82" s="3"/>
      <c r="K82" s="3"/>
      <c r="L82" s="4"/>
      <c r="M82" s="4"/>
      <c r="N82" s="5"/>
      <c r="O82" s="4"/>
      <c r="P82" s="4"/>
      <c r="Q82" s="4"/>
      <c r="R82" s="4"/>
      <c r="S82" s="4"/>
      <c r="T82" s="4"/>
      <c r="U82" s="4"/>
      <c r="V82" s="3"/>
      <c r="W82" s="3"/>
      <c r="X82" s="3"/>
      <c r="Y82" s="3"/>
      <c r="Z82" s="3"/>
      <c r="AA82" s="3"/>
      <c r="AB82" s="3"/>
      <c r="AC82" s="4"/>
      <c r="AD82" s="4"/>
      <c r="AE82" s="4"/>
      <c r="AF82" s="4"/>
      <c r="AG82" s="4"/>
      <c r="AH82" s="4"/>
      <c r="AI82" s="4"/>
      <c r="AJ82" s="3"/>
    </row>
    <row r="83" spans="1:36" ht="13.5" customHeight="1" x14ac:dyDescent="0.25">
      <c r="A83" s="3"/>
      <c r="B83" s="3"/>
      <c r="C83" s="3"/>
      <c r="D83" s="3"/>
      <c r="E83" s="3"/>
      <c r="F83" s="3"/>
      <c r="G83" s="4"/>
      <c r="H83" s="4"/>
      <c r="I83" s="3"/>
      <c r="J83" s="3"/>
      <c r="K83" s="3"/>
      <c r="L83" s="4"/>
      <c r="M83" s="4"/>
      <c r="N83" s="5"/>
      <c r="O83" s="4"/>
      <c r="P83" s="4"/>
      <c r="Q83" s="4"/>
      <c r="R83" s="4"/>
      <c r="S83" s="4"/>
      <c r="T83" s="4"/>
      <c r="U83" s="4"/>
      <c r="V83" s="3"/>
      <c r="W83" s="3"/>
      <c r="X83" s="3"/>
      <c r="Y83" s="3"/>
      <c r="Z83" s="3"/>
      <c r="AA83" s="3"/>
      <c r="AB83" s="3"/>
      <c r="AC83" s="4"/>
      <c r="AD83" s="4"/>
      <c r="AE83" s="4"/>
      <c r="AF83" s="4"/>
      <c r="AG83" s="4"/>
      <c r="AH83" s="4"/>
      <c r="AI83" s="4"/>
      <c r="AJ83" s="3"/>
    </row>
    <row r="84" spans="1:36" ht="13.5" customHeight="1" x14ac:dyDescent="0.25">
      <c r="A84" s="3"/>
      <c r="B84" s="3"/>
      <c r="C84" s="3"/>
      <c r="D84" s="3"/>
      <c r="E84" s="3"/>
      <c r="F84" s="3"/>
      <c r="G84" s="4"/>
      <c r="H84" s="4"/>
      <c r="I84" s="3"/>
      <c r="J84" s="3"/>
      <c r="K84" s="3"/>
      <c r="L84" s="4"/>
      <c r="M84" s="4"/>
      <c r="N84" s="5"/>
      <c r="O84" s="4"/>
      <c r="P84" s="4"/>
      <c r="Q84" s="4"/>
      <c r="R84" s="4"/>
      <c r="S84" s="4"/>
      <c r="T84" s="4"/>
      <c r="U84" s="4"/>
      <c r="V84" s="3"/>
      <c r="W84" s="3"/>
      <c r="X84" s="3"/>
      <c r="Y84" s="3"/>
      <c r="Z84" s="3"/>
      <c r="AA84" s="3"/>
      <c r="AB84" s="3"/>
      <c r="AC84" s="4"/>
      <c r="AD84" s="4"/>
      <c r="AE84" s="4"/>
      <c r="AF84" s="4"/>
      <c r="AG84" s="4"/>
      <c r="AH84" s="4"/>
      <c r="AI84" s="4"/>
      <c r="AJ84" s="3"/>
    </row>
    <row r="85" spans="1:36" ht="13.5" customHeight="1" x14ac:dyDescent="0.25">
      <c r="A85" s="3"/>
      <c r="B85" s="3"/>
      <c r="C85" s="3"/>
      <c r="D85" s="3"/>
      <c r="E85" s="3"/>
      <c r="F85" s="3"/>
      <c r="G85" s="4"/>
      <c r="H85" s="4"/>
      <c r="I85" s="3"/>
      <c r="J85" s="3"/>
      <c r="K85" s="3"/>
      <c r="L85" s="4"/>
      <c r="M85" s="4"/>
      <c r="N85" s="5"/>
      <c r="O85" s="4"/>
      <c r="P85" s="4"/>
      <c r="Q85" s="4"/>
      <c r="R85" s="4"/>
      <c r="S85" s="4"/>
      <c r="T85" s="4"/>
      <c r="U85" s="4"/>
      <c r="V85" s="3"/>
      <c r="W85" s="3"/>
      <c r="X85" s="3"/>
      <c r="Y85" s="3"/>
      <c r="Z85" s="3"/>
      <c r="AA85" s="3"/>
      <c r="AB85" s="3"/>
      <c r="AC85" s="4"/>
      <c r="AD85" s="4"/>
      <c r="AE85" s="4"/>
      <c r="AF85" s="4"/>
      <c r="AG85" s="4"/>
      <c r="AH85" s="4"/>
      <c r="AI85" s="4"/>
      <c r="AJ85" s="3"/>
    </row>
    <row r="86" spans="1:36" ht="13.5" customHeight="1" x14ac:dyDescent="0.25">
      <c r="A86" s="3"/>
      <c r="B86" s="3"/>
      <c r="C86" s="3"/>
      <c r="D86" s="3"/>
      <c r="E86" s="3"/>
      <c r="F86" s="3"/>
      <c r="G86" s="4"/>
      <c r="H86" s="4"/>
      <c r="I86" s="3"/>
      <c r="J86" s="3"/>
      <c r="K86" s="3"/>
      <c r="L86" s="4"/>
      <c r="M86" s="4"/>
      <c r="N86" s="5"/>
      <c r="O86" s="4"/>
      <c r="P86" s="4"/>
      <c r="Q86" s="4"/>
      <c r="R86" s="4"/>
      <c r="S86" s="4"/>
      <c r="T86" s="4"/>
      <c r="U86" s="4"/>
      <c r="V86" s="3"/>
      <c r="W86" s="3"/>
      <c r="X86" s="3"/>
      <c r="Y86" s="3"/>
      <c r="Z86" s="3"/>
      <c r="AA86" s="3"/>
      <c r="AB86" s="3"/>
      <c r="AC86" s="4"/>
      <c r="AD86" s="4"/>
      <c r="AE86" s="4"/>
      <c r="AF86" s="4"/>
      <c r="AG86" s="4"/>
      <c r="AH86" s="4"/>
      <c r="AI86" s="4"/>
      <c r="AJ86" s="3"/>
    </row>
    <row r="87" spans="1:36" ht="13.5" customHeight="1" x14ac:dyDescent="0.25">
      <c r="A87" s="3"/>
      <c r="B87" s="3"/>
      <c r="C87" s="3"/>
      <c r="D87" s="3"/>
      <c r="E87" s="3"/>
      <c r="F87" s="3"/>
      <c r="G87" s="4"/>
      <c r="H87" s="4"/>
      <c r="I87" s="3"/>
      <c r="J87" s="3"/>
      <c r="K87" s="3"/>
      <c r="L87" s="4"/>
      <c r="M87" s="4"/>
      <c r="N87" s="5"/>
      <c r="O87" s="4"/>
      <c r="P87" s="4"/>
      <c r="Q87" s="4"/>
      <c r="R87" s="4"/>
      <c r="S87" s="4"/>
      <c r="T87" s="4"/>
      <c r="U87" s="4"/>
      <c r="V87" s="3"/>
      <c r="W87" s="3"/>
      <c r="X87" s="3"/>
      <c r="Y87" s="3"/>
      <c r="Z87" s="3"/>
      <c r="AA87" s="3"/>
      <c r="AB87" s="3"/>
      <c r="AC87" s="4"/>
      <c r="AD87" s="4"/>
      <c r="AE87" s="4"/>
      <c r="AF87" s="4"/>
      <c r="AG87" s="4"/>
      <c r="AH87" s="4"/>
      <c r="AI87" s="4"/>
      <c r="AJ87" s="3"/>
    </row>
    <row r="88" spans="1:36" ht="13.5" customHeight="1" x14ac:dyDescent="0.25">
      <c r="A88" s="3"/>
      <c r="B88" s="3"/>
      <c r="C88" s="3"/>
      <c r="D88" s="3"/>
      <c r="E88" s="3"/>
      <c r="F88" s="3"/>
      <c r="G88" s="4"/>
      <c r="H88" s="4"/>
      <c r="I88" s="3"/>
      <c r="J88" s="3"/>
      <c r="K88" s="3"/>
      <c r="L88" s="4"/>
      <c r="M88" s="4"/>
      <c r="N88" s="5"/>
      <c r="O88" s="4"/>
      <c r="P88" s="4"/>
      <c r="Q88" s="4"/>
      <c r="R88" s="4"/>
      <c r="S88" s="4"/>
      <c r="T88" s="4"/>
      <c r="U88" s="4"/>
      <c r="V88" s="3"/>
      <c r="W88" s="3"/>
      <c r="X88" s="3"/>
      <c r="Y88" s="3"/>
      <c r="Z88" s="3"/>
      <c r="AA88" s="3"/>
      <c r="AB88" s="3"/>
      <c r="AC88" s="4"/>
      <c r="AD88" s="4"/>
      <c r="AE88" s="4"/>
      <c r="AF88" s="4"/>
      <c r="AG88" s="4"/>
      <c r="AH88" s="4"/>
      <c r="AI88" s="4"/>
      <c r="AJ88" s="3"/>
    </row>
    <row r="89" spans="1:36" ht="13.5" customHeight="1" x14ac:dyDescent="0.25">
      <c r="A89" s="3"/>
      <c r="B89" s="3"/>
      <c r="C89" s="3"/>
      <c r="D89" s="3"/>
      <c r="E89" s="3"/>
      <c r="F89" s="3"/>
      <c r="G89" s="4"/>
      <c r="H89" s="4"/>
      <c r="I89" s="3"/>
      <c r="J89" s="3"/>
      <c r="K89" s="3"/>
      <c r="L89" s="4"/>
      <c r="M89" s="4"/>
      <c r="N89" s="5"/>
      <c r="O89" s="4"/>
      <c r="P89" s="4"/>
      <c r="Q89" s="4"/>
      <c r="R89" s="4"/>
      <c r="S89" s="4"/>
      <c r="T89" s="4"/>
      <c r="U89" s="4"/>
      <c r="V89" s="3"/>
      <c r="W89" s="3"/>
      <c r="X89" s="3"/>
      <c r="Y89" s="3"/>
      <c r="Z89" s="3"/>
      <c r="AA89" s="3"/>
      <c r="AB89" s="3"/>
      <c r="AC89" s="4"/>
      <c r="AD89" s="4"/>
      <c r="AE89" s="4"/>
      <c r="AF89" s="4"/>
      <c r="AG89" s="4"/>
      <c r="AH89" s="4"/>
      <c r="AI89" s="4"/>
      <c r="AJ89" s="3"/>
    </row>
    <row r="90" spans="1:36" ht="13.5" customHeight="1" x14ac:dyDescent="0.25">
      <c r="A90" s="3"/>
      <c r="B90" s="3"/>
      <c r="C90" s="3"/>
      <c r="D90" s="3"/>
      <c r="E90" s="3"/>
      <c r="F90" s="3"/>
      <c r="G90" s="4"/>
      <c r="H90" s="4"/>
      <c r="I90" s="3"/>
      <c r="J90" s="3"/>
      <c r="K90" s="3"/>
      <c r="L90" s="4"/>
      <c r="M90" s="4"/>
      <c r="N90" s="5"/>
      <c r="O90" s="4"/>
      <c r="P90" s="4"/>
      <c r="Q90" s="4"/>
      <c r="R90" s="4"/>
      <c r="S90" s="4"/>
      <c r="T90" s="4"/>
      <c r="U90" s="4"/>
      <c r="V90" s="3"/>
      <c r="W90" s="3"/>
      <c r="X90" s="3"/>
      <c r="Y90" s="3"/>
      <c r="Z90" s="3"/>
      <c r="AA90" s="3"/>
      <c r="AB90" s="3"/>
      <c r="AC90" s="4"/>
      <c r="AD90" s="4"/>
      <c r="AE90" s="4"/>
      <c r="AF90" s="4"/>
      <c r="AG90" s="4"/>
      <c r="AH90" s="4"/>
      <c r="AI90" s="4"/>
      <c r="AJ90" s="3"/>
    </row>
    <row r="91" spans="1:36" ht="13.5" customHeight="1" x14ac:dyDescent="0.25">
      <c r="A91" s="3"/>
      <c r="B91" s="3"/>
      <c r="C91" s="3"/>
      <c r="D91" s="3"/>
      <c r="E91" s="3"/>
      <c r="F91" s="3"/>
      <c r="G91" s="4"/>
      <c r="H91" s="4"/>
      <c r="I91" s="3"/>
      <c r="J91" s="3"/>
      <c r="K91" s="3"/>
      <c r="L91" s="4"/>
      <c r="M91" s="4"/>
      <c r="N91" s="5"/>
      <c r="O91" s="4"/>
      <c r="P91" s="4"/>
      <c r="Q91" s="4"/>
      <c r="R91" s="4"/>
      <c r="S91" s="4"/>
      <c r="T91" s="4"/>
      <c r="U91" s="4"/>
      <c r="V91" s="3"/>
      <c r="W91" s="3"/>
      <c r="X91" s="3"/>
      <c r="Y91" s="3"/>
      <c r="Z91" s="3"/>
      <c r="AA91" s="3"/>
      <c r="AB91" s="3"/>
      <c r="AC91" s="4"/>
      <c r="AD91" s="4"/>
      <c r="AE91" s="4"/>
      <c r="AF91" s="4"/>
      <c r="AG91" s="4"/>
      <c r="AH91" s="4"/>
      <c r="AI91" s="4"/>
      <c r="AJ91" s="3"/>
    </row>
    <row r="92" spans="1:36" ht="13.5" customHeight="1" x14ac:dyDescent="0.25">
      <c r="A92" s="3"/>
      <c r="B92" s="3"/>
      <c r="C92" s="3"/>
      <c r="D92" s="3"/>
      <c r="E92" s="3"/>
      <c r="F92" s="3"/>
      <c r="G92" s="4"/>
      <c r="H92" s="4"/>
      <c r="I92" s="3"/>
      <c r="J92" s="3"/>
      <c r="K92" s="3"/>
      <c r="L92" s="4"/>
      <c r="M92" s="4"/>
      <c r="N92" s="5"/>
      <c r="O92" s="4"/>
      <c r="P92" s="4"/>
      <c r="Q92" s="4"/>
      <c r="R92" s="4"/>
      <c r="S92" s="4"/>
      <c r="T92" s="4"/>
      <c r="U92" s="4"/>
      <c r="V92" s="3"/>
      <c r="W92" s="3"/>
      <c r="X92" s="3"/>
      <c r="Y92" s="3"/>
      <c r="Z92" s="3"/>
      <c r="AA92" s="3"/>
      <c r="AB92" s="3"/>
      <c r="AC92" s="4"/>
      <c r="AD92" s="4"/>
      <c r="AE92" s="4"/>
      <c r="AF92" s="4"/>
      <c r="AG92" s="4"/>
      <c r="AH92" s="4"/>
      <c r="AI92" s="4"/>
      <c r="AJ92" s="3"/>
    </row>
    <row r="93" spans="1:36" ht="13.5" customHeight="1" x14ac:dyDescent="0.25">
      <c r="A93" s="3"/>
      <c r="B93" s="3"/>
      <c r="C93" s="3"/>
      <c r="D93" s="3"/>
      <c r="E93" s="3"/>
      <c r="F93" s="3"/>
      <c r="G93" s="4"/>
      <c r="H93" s="4"/>
      <c r="I93" s="3"/>
      <c r="J93" s="3"/>
      <c r="K93" s="3"/>
      <c r="L93" s="4"/>
      <c r="M93" s="4"/>
      <c r="N93" s="5"/>
      <c r="O93" s="4"/>
      <c r="P93" s="4"/>
      <c r="Q93" s="4"/>
      <c r="R93" s="4"/>
      <c r="S93" s="4"/>
      <c r="T93" s="4"/>
      <c r="U93" s="4"/>
      <c r="V93" s="3"/>
      <c r="W93" s="3"/>
      <c r="X93" s="3"/>
      <c r="Y93" s="3"/>
      <c r="Z93" s="3"/>
      <c r="AA93" s="3"/>
      <c r="AB93" s="3"/>
      <c r="AC93" s="4"/>
      <c r="AD93" s="4"/>
      <c r="AE93" s="4"/>
      <c r="AF93" s="4"/>
      <c r="AG93" s="4"/>
      <c r="AH93" s="4"/>
      <c r="AI93" s="4"/>
      <c r="AJ93" s="3"/>
    </row>
    <row r="94" spans="1:36" ht="13.5" customHeight="1" x14ac:dyDescent="0.25">
      <c r="A94" s="3"/>
      <c r="B94" s="3"/>
      <c r="C94" s="3"/>
      <c r="D94" s="3"/>
      <c r="E94" s="3"/>
      <c r="F94" s="3"/>
      <c r="G94" s="4"/>
      <c r="H94" s="4"/>
      <c r="I94" s="3"/>
      <c r="J94" s="3"/>
      <c r="K94" s="3"/>
      <c r="L94" s="4"/>
      <c r="M94" s="4"/>
      <c r="N94" s="5"/>
      <c r="O94" s="4"/>
      <c r="P94" s="4"/>
      <c r="Q94" s="4"/>
      <c r="R94" s="4"/>
      <c r="S94" s="4"/>
      <c r="T94" s="4"/>
      <c r="U94" s="4"/>
      <c r="V94" s="3"/>
      <c r="W94" s="3"/>
      <c r="X94" s="3"/>
      <c r="Y94" s="3"/>
      <c r="Z94" s="3"/>
      <c r="AA94" s="3"/>
      <c r="AB94" s="3"/>
      <c r="AC94" s="4"/>
      <c r="AD94" s="4"/>
      <c r="AE94" s="4"/>
      <c r="AF94" s="4"/>
      <c r="AG94" s="4"/>
      <c r="AH94" s="4"/>
      <c r="AI94" s="4"/>
      <c r="AJ94" s="3"/>
    </row>
    <row r="95" spans="1:36" ht="13.5" customHeight="1" x14ac:dyDescent="0.25">
      <c r="A95" s="3"/>
      <c r="B95" s="3"/>
      <c r="C95" s="3"/>
      <c r="D95" s="3"/>
      <c r="E95" s="3"/>
      <c r="F95" s="3"/>
      <c r="G95" s="4"/>
      <c r="H95" s="4"/>
      <c r="I95" s="3"/>
      <c r="J95" s="3"/>
      <c r="K95" s="3"/>
      <c r="L95" s="4"/>
      <c r="M95" s="4"/>
      <c r="N95" s="5"/>
      <c r="O95" s="4"/>
      <c r="P95" s="4"/>
      <c r="Q95" s="4"/>
      <c r="R95" s="4"/>
      <c r="S95" s="4"/>
      <c r="T95" s="4"/>
      <c r="U95" s="4"/>
      <c r="V95" s="3"/>
      <c r="W95" s="3"/>
      <c r="X95" s="3"/>
      <c r="Y95" s="3"/>
      <c r="Z95" s="3"/>
      <c r="AA95" s="3"/>
      <c r="AB95" s="3"/>
      <c r="AC95" s="4"/>
      <c r="AD95" s="4"/>
      <c r="AE95" s="4"/>
      <c r="AF95" s="4"/>
      <c r="AG95" s="4"/>
      <c r="AH95" s="4"/>
      <c r="AI95" s="4"/>
      <c r="AJ95" s="3"/>
    </row>
    <row r="96" spans="1:36" ht="13.5" customHeight="1" x14ac:dyDescent="0.25">
      <c r="A96" s="3"/>
      <c r="B96" s="3"/>
      <c r="C96" s="3"/>
      <c r="D96" s="3"/>
      <c r="E96" s="3"/>
      <c r="F96" s="3"/>
      <c r="G96" s="4"/>
      <c r="H96" s="4"/>
      <c r="I96" s="3"/>
      <c r="J96" s="3"/>
      <c r="K96" s="3"/>
      <c r="L96" s="4"/>
      <c r="M96" s="4"/>
      <c r="N96" s="5"/>
      <c r="O96" s="4"/>
      <c r="P96" s="4"/>
      <c r="Q96" s="4"/>
      <c r="R96" s="4"/>
      <c r="S96" s="4"/>
      <c r="T96" s="4"/>
      <c r="U96" s="4"/>
      <c r="V96" s="3"/>
      <c r="W96" s="3"/>
      <c r="X96" s="3"/>
      <c r="Y96" s="3"/>
      <c r="Z96" s="3"/>
      <c r="AA96" s="3"/>
      <c r="AB96" s="3"/>
      <c r="AC96" s="4"/>
      <c r="AD96" s="4"/>
      <c r="AE96" s="4"/>
      <c r="AF96" s="4"/>
      <c r="AG96" s="4"/>
      <c r="AH96" s="4"/>
      <c r="AI96" s="4"/>
      <c r="AJ96" s="3"/>
    </row>
    <row r="97" spans="1:36" ht="13.5" customHeight="1" x14ac:dyDescent="0.25">
      <c r="A97" s="3"/>
      <c r="B97" s="3"/>
      <c r="C97" s="3"/>
      <c r="D97" s="3"/>
      <c r="E97" s="3"/>
      <c r="F97" s="3"/>
      <c r="G97" s="4"/>
      <c r="H97" s="4"/>
      <c r="I97" s="3"/>
      <c r="J97" s="3"/>
      <c r="K97" s="3"/>
      <c r="L97" s="4"/>
      <c r="M97" s="4"/>
      <c r="N97" s="5"/>
      <c r="O97" s="4"/>
      <c r="P97" s="4"/>
      <c r="Q97" s="4"/>
      <c r="R97" s="4"/>
      <c r="S97" s="4"/>
      <c r="T97" s="4"/>
      <c r="U97" s="4"/>
      <c r="V97" s="3"/>
      <c r="W97" s="3"/>
      <c r="X97" s="3"/>
      <c r="Y97" s="3"/>
      <c r="Z97" s="3"/>
      <c r="AA97" s="3"/>
      <c r="AB97" s="3"/>
      <c r="AC97" s="4"/>
      <c r="AD97" s="4"/>
      <c r="AE97" s="4"/>
      <c r="AF97" s="4"/>
      <c r="AG97" s="4"/>
      <c r="AH97" s="4"/>
      <c r="AI97" s="4"/>
      <c r="AJ97" s="3"/>
    </row>
    <row r="98" spans="1:36" ht="13.5" customHeight="1" x14ac:dyDescent="0.25">
      <c r="A98" s="3"/>
      <c r="B98" s="3"/>
      <c r="C98" s="3"/>
      <c r="D98" s="3"/>
      <c r="E98" s="3"/>
      <c r="F98" s="3"/>
      <c r="G98" s="4"/>
      <c r="H98" s="4"/>
      <c r="I98" s="3"/>
      <c r="J98" s="3"/>
      <c r="K98" s="3"/>
      <c r="L98" s="4"/>
      <c r="M98" s="4"/>
      <c r="N98" s="5"/>
      <c r="O98" s="4"/>
      <c r="P98" s="4"/>
      <c r="Q98" s="4"/>
      <c r="R98" s="4"/>
      <c r="S98" s="4"/>
      <c r="T98" s="4"/>
      <c r="U98" s="4"/>
      <c r="V98" s="3"/>
      <c r="W98" s="3"/>
      <c r="X98" s="3"/>
      <c r="Y98" s="3"/>
      <c r="Z98" s="3"/>
      <c r="AA98" s="3"/>
      <c r="AB98" s="3"/>
      <c r="AC98" s="4"/>
      <c r="AD98" s="4"/>
      <c r="AE98" s="4"/>
      <c r="AF98" s="4"/>
      <c r="AG98" s="4"/>
      <c r="AH98" s="4"/>
      <c r="AI98" s="4"/>
      <c r="AJ98" s="3"/>
    </row>
    <row r="99" spans="1:36" ht="13.5" customHeight="1" x14ac:dyDescent="0.25">
      <c r="A99" s="3"/>
      <c r="B99" s="3"/>
      <c r="C99" s="3"/>
      <c r="D99" s="3"/>
      <c r="E99" s="3"/>
      <c r="F99" s="3"/>
      <c r="G99" s="4"/>
      <c r="H99" s="4"/>
      <c r="I99" s="3"/>
      <c r="J99" s="3"/>
      <c r="K99" s="3"/>
      <c r="L99" s="4"/>
      <c r="M99" s="4"/>
      <c r="N99" s="5"/>
      <c r="O99" s="4"/>
      <c r="P99" s="4"/>
      <c r="Q99" s="4"/>
      <c r="R99" s="4"/>
      <c r="S99" s="4"/>
      <c r="T99" s="4"/>
      <c r="U99" s="4"/>
      <c r="V99" s="3"/>
      <c r="W99" s="3"/>
      <c r="X99" s="3"/>
      <c r="Y99" s="3"/>
      <c r="Z99" s="3"/>
      <c r="AA99" s="3"/>
      <c r="AB99" s="3"/>
      <c r="AC99" s="4"/>
      <c r="AD99" s="4"/>
      <c r="AE99" s="4"/>
      <c r="AF99" s="4"/>
      <c r="AG99" s="4"/>
      <c r="AH99" s="4"/>
      <c r="AI99" s="4"/>
      <c r="AJ99" s="3"/>
    </row>
    <row r="100" spans="1:36" ht="15.75" customHeight="1" x14ac:dyDescent="0.25"/>
  </sheetData>
  <conditionalFormatting sqref="J4:J11">
    <cfRule type="cellIs" dxfId="5" priority="2" operator="notEqual">
      <formula>0</formula>
    </cfRule>
  </conditionalFormatting>
  <conditionalFormatting sqref="K4:K11">
    <cfRule type="cellIs" dxfId="4" priority="1" operator="notEqual">
      <formula>0</formula>
    </cfRule>
  </conditionalFormatting>
  <conditionalFormatting sqref="AH4:AI11">
    <cfRule type="cellIs" dxfId="3" priority="3" operator="notEqual">
      <formula>0</formula>
    </cfRule>
  </conditionalFormatting>
  <pageMargins left="0.7" right="0.7" top="0.75" bottom="0.75" header="0" footer="0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2B50AF-9450-43C6-BC0F-1BAFF1BD4224}">
          <x14:formula1>
            <xm:f>'Customer list'!$A$1:$A$12</xm:f>
          </x14:formula1>
          <xm:sqref>C4:C25</xm:sqref>
        </x14:dataValidation>
        <x14:dataValidation type="list" allowBlank="1" showInputMessage="1" showErrorMessage="1" xr:uid="{AE4A0C17-F230-43F8-A040-F119F51EFB80}">
          <x14:formula1>
            <xm:f>'Forwarder list'!$A$1:$A$17</xm:f>
          </x14:formula1>
          <xm:sqref>AA4:AA25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N100"/>
  <sheetViews>
    <sheetView workbookViewId="0">
      <selection activeCell="H6" sqref="H6"/>
    </sheetView>
  </sheetViews>
  <sheetFormatPr defaultColWidth="14.42578125" defaultRowHeight="15" customHeight="1" x14ac:dyDescent="0.25"/>
  <cols>
    <col min="1" max="1" width="13.140625" customWidth="1"/>
    <col min="2" max="2" width="13" customWidth="1"/>
    <col min="3" max="3" width="12.140625" customWidth="1"/>
    <col min="4" max="5" width="17.7109375" customWidth="1"/>
    <col min="6" max="6" width="15.7109375" customWidth="1"/>
    <col min="7" max="7" width="13.140625" customWidth="1"/>
    <col min="8" max="8" width="11.85546875" customWidth="1"/>
    <col min="9" max="9" width="7.140625" customWidth="1"/>
    <col min="10" max="10" width="13.85546875" customWidth="1"/>
    <col min="11" max="11" width="18.28515625" customWidth="1"/>
    <col min="12" max="12" width="11.5703125" customWidth="1"/>
    <col min="13" max="13" width="13.28515625" customWidth="1"/>
    <col min="14" max="14" width="30.42578125" customWidth="1"/>
    <col min="15" max="15" width="12.85546875" customWidth="1"/>
    <col min="16" max="16" width="15.28515625" customWidth="1"/>
    <col min="17" max="17" width="14" customWidth="1"/>
    <col min="18" max="18" width="14.140625" customWidth="1"/>
    <col min="19" max="19" width="10.5703125" customWidth="1"/>
    <col min="20" max="20" width="12" customWidth="1"/>
    <col min="21" max="26" width="10.42578125" customWidth="1"/>
    <col min="27" max="27" width="12.42578125" customWidth="1"/>
    <col min="28" max="28" width="13.28515625" customWidth="1"/>
    <col min="29" max="29" width="16.140625" customWidth="1"/>
    <col min="30" max="30" width="11.28515625" customWidth="1"/>
    <col min="31" max="31" width="13.85546875" customWidth="1"/>
    <col min="32" max="33" width="13.5703125" customWidth="1"/>
    <col min="34" max="34" width="19.5703125" customWidth="1"/>
    <col min="35" max="35" width="15.140625" customWidth="1"/>
    <col min="36" max="36" width="20.140625" customWidth="1"/>
    <col min="37" max="39" width="17.5703125" customWidth="1"/>
    <col min="40" max="40" width="20.28515625" customWidth="1"/>
  </cols>
  <sheetData>
    <row r="1" spans="1:40" ht="28.5" customHeight="1" x14ac:dyDescent="0.25">
      <c r="A1" s="93" t="s">
        <v>60</v>
      </c>
      <c r="B1" s="94"/>
      <c r="C1" s="94"/>
      <c r="D1" s="95"/>
      <c r="E1" s="95"/>
      <c r="F1" s="94"/>
      <c r="G1" s="94"/>
      <c r="H1" s="27"/>
      <c r="I1" s="27"/>
      <c r="J1" s="27"/>
      <c r="K1" s="96"/>
      <c r="L1" s="97"/>
      <c r="M1" s="94"/>
      <c r="N1" s="97"/>
      <c r="O1" s="94"/>
      <c r="P1" s="94"/>
      <c r="Q1" s="27"/>
      <c r="R1" s="94"/>
      <c r="S1" s="27"/>
      <c r="T1" s="27"/>
      <c r="U1" s="27"/>
      <c r="V1" s="27"/>
      <c r="W1" s="27"/>
      <c r="X1" s="27"/>
      <c r="Y1" s="27"/>
      <c r="Z1" s="27"/>
      <c r="AA1" s="27"/>
      <c r="AB1" s="27"/>
      <c r="AC1" s="94"/>
      <c r="AD1" s="96"/>
      <c r="AE1" s="96"/>
      <c r="AF1" s="96"/>
      <c r="AG1" s="96"/>
      <c r="AH1" s="27"/>
      <c r="AI1" s="27"/>
      <c r="AJ1" s="27"/>
      <c r="AK1" s="27"/>
      <c r="AL1" s="27"/>
      <c r="AM1" s="27"/>
      <c r="AN1" s="27"/>
    </row>
    <row r="2" spans="1:40" ht="20.25" customHeight="1" x14ac:dyDescent="0.25">
      <c r="A2" s="27"/>
      <c r="B2" s="98"/>
      <c r="C2" s="94"/>
      <c r="D2" s="95"/>
      <c r="E2" s="95"/>
      <c r="F2" s="94"/>
      <c r="G2" s="94"/>
      <c r="H2" s="27"/>
      <c r="I2" s="27"/>
      <c r="J2" s="27"/>
      <c r="K2" s="96"/>
      <c r="L2" s="97"/>
      <c r="M2" s="94"/>
      <c r="N2" s="97"/>
      <c r="O2" s="94"/>
      <c r="P2" s="99"/>
      <c r="Q2" s="100"/>
      <c r="R2" s="101" t="s">
        <v>61</v>
      </c>
      <c r="S2" s="100"/>
      <c r="T2" s="100"/>
      <c r="U2" s="100"/>
      <c r="V2" s="100"/>
      <c r="W2" s="100"/>
      <c r="X2" s="100"/>
      <c r="Y2" s="100"/>
      <c r="Z2" s="100"/>
      <c r="AA2" s="102"/>
      <c r="AB2" s="397" t="s">
        <v>62</v>
      </c>
      <c r="AC2" s="396"/>
      <c r="AD2" s="394" t="s">
        <v>63</v>
      </c>
      <c r="AE2" s="395"/>
      <c r="AF2" s="395"/>
      <c r="AG2" s="396"/>
      <c r="AH2" s="27"/>
      <c r="AI2" s="27"/>
      <c r="AJ2" s="27"/>
      <c r="AK2" s="27"/>
      <c r="AL2" s="27"/>
      <c r="AM2" s="27"/>
      <c r="AN2" s="27"/>
    </row>
    <row r="3" spans="1:40" ht="48" customHeight="1" x14ac:dyDescent="0.25">
      <c r="A3" s="103" t="s">
        <v>2</v>
      </c>
      <c r="B3" s="103" t="s">
        <v>3</v>
      </c>
      <c r="C3" s="104" t="s">
        <v>4</v>
      </c>
      <c r="D3" s="103" t="s">
        <v>17</v>
      </c>
      <c r="E3" s="103" t="s">
        <v>64</v>
      </c>
      <c r="F3" s="105" t="s">
        <v>65</v>
      </c>
      <c r="G3" s="103" t="s">
        <v>66</v>
      </c>
      <c r="H3" s="103" t="s">
        <v>67</v>
      </c>
      <c r="I3" s="106" t="s">
        <v>68</v>
      </c>
      <c r="J3" s="103" t="s">
        <v>69</v>
      </c>
      <c r="K3" s="103" t="s">
        <v>15</v>
      </c>
      <c r="L3" s="103" t="s">
        <v>16</v>
      </c>
      <c r="M3" s="106" t="s">
        <v>26</v>
      </c>
      <c r="N3" s="107" t="s">
        <v>5</v>
      </c>
      <c r="O3" s="107" t="s">
        <v>6</v>
      </c>
      <c r="P3" s="108" t="s">
        <v>70</v>
      </c>
      <c r="Q3" s="109" t="s">
        <v>71</v>
      </c>
      <c r="R3" s="110" t="s">
        <v>72</v>
      </c>
      <c r="S3" s="109" t="s">
        <v>73</v>
      </c>
      <c r="T3" s="111" t="s">
        <v>74</v>
      </c>
      <c r="U3" s="110" t="s">
        <v>75</v>
      </c>
      <c r="V3" s="109" t="s">
        <v>76</v>
      </c>
      <c r="W3" s="110" t="s">
        <v>77</v>
      </c>
      <c r="X3" s="110" t="s">
        <v>78</v>
      </c>
      <c r="Y3" s="110" t="s">
        <v>79</v>
      </c>
      <c r="Z3" s="110" t="s">
        <v>80</v>
      </c>
      <c r="AA3" s="112" t="s">
        <v>81</v>
      </c>
      <c r="AB3" s="113" t="s">
        <v>82</v>
      </c>
      <c r="AC3" s="114" t="s">
        <v>10</v>
      </c>
      <c r="AD3" s="115" t="s">
        <v>83</v>
      </c>
      <c r="AE3" s="116" t="s">
        <v>84</v>
      </c>
      <c r="AF3" s="117" t="s">
        <v>85</v>
      </c>
      <c r="AG3" s="118" t="s">
        <v>72</v>
      </c>
      <c r="AH3" s="119" t="s">
        <v>86</v>
      </c>
      <c r="AI3" s="103" t="s">
        <v>87</v>
      </c>
      <c r="AJ3" s="103" t="s">
        <v>88</v>
      </c>
      <c r="AK3" s="103" t="s">
        <v>89</v>
      </c>
      <c r="AL3" s="103" t="s">
        <v>71</v>
      </c>
      <c r="AM3" s="376" t="s">
        <v>232</v>
      </c>
      <c r="AN3" s="103" t="s">
        <v>90</v>
      </c>
    </row>
    <row r="4" spans="1:40" ht="31.5" customHeight="1" x14ac:dyDescent="0.25">
      <c r="A4" s="12">
        <f>Export!B4</f>
        <v>45294</v>
      </c>
      <c r="B4" s="20" t="s">
        <v>35</v>
      </c>
      <c r="C4" s="20" t="str">
        <f>Export!D4</f>
        <v>Turkey</v>
      </c>
      <c r="D4" s="120">
        <f>Export!Q4</f>
        <v>21122023</v>
      </c>
      <c r="E4" s="12" t="str">
        <f>Export!S4</f>
        <v>306161176000</v>
      </c>
      <c r="F4" s="12" t="str">
        <f>Export!Z4</f>
        <v>774666406000</v>
      </c>
      <c r="G4" s="20" t="s">
        <v>91</v>
      </c>
      <c r="H4" s="121">
        <v>4</v>
      </c>
      <c r="I4" s="23"/>
      <c r="J4" s="121">
        <v>4</v>
      </c>
      <c r="K4" s="13" t="str">
        <f>Export!O4</f>
        <v>DDU - Bursa, Turkey</v>
      </c>
      <c r="L4" s="20" t="str">
        <f>Export!P4</f>
        <v>Express</v>
      </c>
      <c r="M4" s="14" t="str">
        <f>Export!AA4</f>
        <v>FedEx</v>
      </c>
      <c r="N4" s="13" t="str">
        <f>Export!E4</f>
        <v>Oring - D9 / 3.4</v>
      </c>
      <c r="O4" s="122" t="str">
        <f>Export!F4</f>
        <v>40169320</v>
      </c>
      <c r="P4" s="123"/>
      <c r="Q4" s="124"/>
      <c r="R4" s="125"/>
      <c r="S4" s="124"/>
      <c r="T4" s="126"/>
      <c r="U4" s="125"/>
      <c r="V4" s="124"/>
      <c r="W4" s="125"/>
      <c r="X4" s="125"/>
      <c r="Y4" s="125"/>
      <c r="Z4" s="125"/>
      <c r="AA4" s="127"/>
      <c r="AB4" s="124"/>
      <c r="AC4" s="128">
        <v>3706668</v>
      </c>
      <c r="AD4" s="129"/>
      <c r="AE4" s="124"/>
      <c r="AF4" s="126"/>
      <c r="AG4" s="127"/>
      <c r="AH4" s="130"/>
      <c r="AI4" s="131"/>
      <c r="AJ4" s="132">
        <v>3432100</v>
      </c>
      <c r="AK4" s="131">
        <f>AJ4*0.08</f>
        <v>274568</v>
      </c>
      <c r="AL4" s="131">
        <v>20000</v>
      </c>
      <c r="AM4" s="374"/>
      <c r="AN4" s="133">
        <f>SUM(AJ4:AL4)</f>
        <v>3726668</v>
      </c>
    </row>
    <row r="5" spans="1:40" ht="31.5" customHeight="1" x14ac:dyDescent="0.25">
      <c r="A5" s="28">
        <f>Export!B5</f>
        <v>45294</v>
      </c>
      <c r="B5" s="36" t="str">
        <f>Export!C5</f>
        <v>ACBD</v>
      </c>
      <c r="C5" s="36" t="str">
        <f>Export!D5</f>
        <v>Turkey</v>
      </c>
      <c r="D5" s="134">
        <f>Export!Q5</f>
        <v>21122023</v>
      </c>
      <c r="E5" s="28" t="str">
        <f>Export!S5</f>
        <v>306161176000</v>
      </c>
      <c r="F5" s="28" t="str">
        <f>Export!Z5</f>
        <v>774666406000</v>
      </c>
      <c r="G5" s="36"/>
      <c r="H5" s="135"/>
      <c r="I5" s="39"/>
      <c r="J5" s="135"/>
      <c r="K5" s="29" t="str">
        <f>Export!O5</f>
        <v>DDU - Bursa, Turkey</v>
      </c>
      <c r="L5" s="36" t="str">
        <f>Export!P5</f>
        <v>Express</v>
      </c>
      <c r="M5" s="30" t="str">
        <f>Export!AA5</f>
        <v>FedEx</v>
      </c>
      <c r="N5" s="29" t="str">
        <f>Export!E5</f>
        <v>GASKET BLACK SHA70</v>
      </c>
      <c r="O5" s="136" t="str">
        <f>Export!F5</f>
        <v>40169320</v>
      </c>
      <c r="P5" s="137"/>
      <c r="Q5" s="138"/>
      <c r="R5" s="139"/>
      <c r="S5" s="138"/>
      <c r="T5" s="140"/>
      <c r="U5" s="139"/>
      <c r="V5" s="138"/>
      <c r="W5" s="139"/>
      <c r="X5" s="139"/>
      <c r="Y5" s="139"/>
      <c r="Z5" s="139"/>
      <c r="AA5" s="141"/>
      <c r="AB5" s="138"/>
      <c r="AC5" s="140"/>
      <c r="AD5" s="142"/>
      <c r="AE5" s="138"/>
      <c r="AF5" s="140"/>
      <c r="AG5" s="141"/>
      <c r="AH5" s="143"/>
      <c r="AI5" s="144"/>
      <c r="AJ5" s="145"/>
      <c r="AK5" s="144"/>
      <c r="AL5" s="144"/>
      <c r="AM5" s="375"/>
      <c r="AN5" s="133"/>
    </row>
    <row r="6" spans="1:40" ht="31.5" customHeight="1" x14ac:dyDescent="0.25">
      <c r="A6" s="44">
        <f>Export!B6</f>
        <v>45294</v>
      </c>
      <c r="B6" s="52" t="str">
        <f>Export!C6</f>
        <v>TTTT</v>
      </c>
      <c r="C6" s="52" t="str">
        <f>Export!D6</f>
        <v>Turkey</v>
      </c>
      <c r="D6" s="146">
        <f>Export!Q6</f>
        <v>21122023</v>
      </c>
      <c r="E6" s="44" t="str">
        <f>Export!S6</f>
        <v>306161176000</v>
      </c>
      <c r="F6" s="44" t="str">
        <f>Export!Z6</f>
        <v>774666406000</v>
      </c>
      <c r="G6" s="52"/>
      <c r="H6" s="147"/>
      <c r="I6" s="55"/>
      <c r="J6" s="147"/>
      <c r="K6" s="45" t="str">
        <f>Export!O6</f>
        <v>DDU - Bursa, Turkey</v>
      </c>
      <c r="L6" s="52" t="str">
        <f>Export!P6</f>
        <v>Express</v>
      </c>
      <c r="M6" s="46" t="str">
        <f>Export!AA6</f>
        <v>FedEx</v>
      </c>
      <c r="N6" s="45" t="str">
        <f>Export!E6</f>
        <v xml:space="preserve">Oring - D17.5 / 1.5 </v>
      </c>
      <c r="O6" s="148" t="str">
        <f>Export!F6</f>
        <v>40169320</v>
      </c>
      <c r="P6" s="149"/>
      <c r="Q6" s="150"/>
      <c r="R6" s="151"/>
      <c r="S6" s="150"/>
      <c r="T6" s="152"/>
      <c r="U6" s="151"/>
      <c r="V6" s="150"/>
      <c r="W6" s="151"/>
      <c r="X6" s="151"/>
      <c r="Y6" s="151"/>
      <c r="Z6" s="151"/>
      <c r="AA6" s="153"/>
      <c r="AB6" s="150"/>
      <c r="AC6" s="152"/>
      <c r="AD6" s="154"/>
      <c r="AE6" s="150"/>
      <c r="AF6" s="152"/>
      <c r="AG6" s="153"/>
      <c r="AH6" s="155"/>
      <c r="AI6" s="156"/>
      <c r="AJ6" s="157"/>
      <c r="AK6" s="156"/>
      <c r="AL6" s="156"/>
      <c r="AM6" s="234"/>
      <c r="AN6" s="133"/>
    </row>
    <row r="7" spans="1:40" ht="41.25" customHeight="1" x14ac:dyDescent="0.25">
      <c r="A7" s="158">
        <f>Export!B7</f>
        <v>45314</v>
      </c>
      <c r="B7" s="159" t="str">
        <f>Export!C7</f>
        <v>BFGH</v>
      </c>
      <c r="C7" s="159" t="str">
        <f>Export!D7</f>
        <v>Italy</v>
      </c>
      <c r="D7" s="160" t="str">
        <f>Export!Q7</f>
        <v>22012024-01</v>
      </c>
      <c r="E7" s="161" t="str">
        <f>Export!S7</f>
        <v>306161176001</v>
      </c>
      <c r="F7" s="161" t="str">
        <f>Export!Z7</f>
        <v>5152240000</v>
      </c>
      <c r="G7" s="159" t="s">
        <v>92</v>
      </c>
      <c r="H7" s="162">
        <v>1340</v>
      </c>
      <c r="I7" s="163">
        <v>6.3</v>
      </c>
      <c r="J7" s="162">
        <v>1329</v>
      </c>
      <c r="K7" s="164" t="str">
        <f>Export!O7</f>
        <v>DAP - Bursa, Turkey</v>
      </c>
      <c r="L7" s="159" t="str">
        <f>Export!P7</f>
        <v>Air freight</v>
      </c>
      <c r="M7" s="165" t="str">
        <f>Export!AA7</f>
        <v>Karl Gross</v>
      </c>
      <c r="N7" s="166" t="str">
        <f>Export!E7</f>
        <v>Oring - D36 / 5</v>
      </c>
      <c r="O7" s="167" t="str">
        <f>Export!F7</f>
        <v>40169320</v>
      </c>
      <c r="P7" s="168">
        <v>9</v>
      </c>
      <c r="Q7" s="169">
        <v>39</v>
      </c>
      <c r="R7" s="170">
        <v>75</v>
      </c>
      <c r="S7" s="169"/>
      <c r="T7" s="171"/>
      <c r="U7" s="172"/>
      <c r="V7" s="173"/>
      <c r="W7" s="172"/>
      <c r="X7" s="172"/>
      <c r="Y7" s="172"/>
      <c r="Z7" s="172"/>
      <c r="AA7" s="174"/>
      <c r="AB7" s="175">
        <v>3.05</v>
      </c>
      <c r="AC7" s="176">
        <f>AB7*J7</f>
        <v>4053.45</v>
      </c>
      <c r="AD7" s="177">
        <v>100</v>
      </c>
      <c r="AE7" s="173"/>
      <c r="AF7" s="178"/>
      <c r="AG7" s="174">
        <f>380-AE7-AF7</f>
        <v>380</v>
      </c>
      <c r="AH7" s="179">
        <f>SUM(R7:AA7,AC7,AD7:AG7)</f>
        <v>4608.45</v>
      </c>
      <c r="AI7" s="180">
        <v>24770</v>
      </c>
      <c r="AJ7" s="181">
        <f>ROUNDUP(AH7*AI7,0)</f>
        <v>114151307</v>
      </c>
      <c r="AK7" s="180">
        <v>244030</v>
      </c>
      <c r="AL7" s="180">
        <v>20000</v>
      </c>
      <c r="AM7" s="180"/>
      <c r="AN7" s="133">
        <f>SUM(AJ7:AL7)</f>
        <v>114415337</v>
      </c>
    </row>
    <row r="8" spans="1:40" ht="31.5" customHeight="1" x14ac:dyDescent="0.25">
      <c r="A8" s="12"/>
      <c r="B8" s="20"/>
      <c r="C8" s="14"/>
      <c r="D8" s="120"/>
      <c r="E8" s="20"/>
      <c r="F8" s="20"/>
      <c r="G8" s="20"/>
      <c r="H8" s="121"/>
      <c r="I8" s="23"/>
      <c r="J8" s="121"/>
      <c r="K8" s="13"/>
      <c r="L8" s="20"/>
      <c r="M8" s="14"/>
      <c r="N8" s="182"/>
      <c r="O8" s="122"/>
      <c r="P8" s="123"/>
      <c r="Q8" s="124"/>
      <c r="R8" s="125" t="s">
        <v>93</v>
      </c>
      <c r="S8" s="124"/>
      <c r="T8" s="126"/>
      <c r="U8" s="125"/>
      <c r="V8" s="124"/>
      <c r="W8" s="125"/>
      <c r="X8" s="125"/>
      <c r="Y8" s="125"/>
      <c r="Z8" s="125"/>
      <c r="AA8" s="127"/>
      <c r="AB8" s="124"/>
      <c r="AC8" s="183"/>
      <c r="AD8" s="129"/>
      <c r="AE8" s="124"/>
      <c r="AF8" s="126"/>
      <c r="AG8" s="127"/>
      <c r="AH8" s="130"/>
      <c r="AI8" s="131"/>
      <c r="AJ8" s="132"/>
      <c r="AK8" s="131"/>
      <c r="AL8" s="131"/>
      <c r="AM8" s="374"/>
      <c r="AN8" s="133"/>
    </row>
    <row r="9" spans="1:40" ht="31.5" customHeight="1" x14ac:dyDescent="0.25">
      <c r="A9" s="28"/>
      <c r="B9" s="36"/>
      <c r="C9" s="30"/>
      <c r="D9" s="134"/>
      <c r="E9" s="36"/>
      <c r="F9" s="36"/>
      <c r="G9" s="36"/>
      <c r="H9" s="135"/>
      <c r="I9" s="39"/>
      <c r="J9" s="135"/>
      <c r="K9" s="29"/>
      <c r="L9" s="36"/>
      <c r="M9" s="30"/>
      <c r="N9" s="184"/>
      <c r="O9" s="136"/>
      <c r="P9" s="137"/>
      <c r="Q9" s="138"/>
      <c r="R9" s="139"/>
      <c r="S9" s="138"/>
      <c r="T9" s="140"/>
      <c r="U9" s="139"/>
      <c r="V9" s="138"/>
      <c r="W9" s="139"/>
      <c r="X9" s="139"/>
      <c r="Y9" s="139"/>
      <c r="Z9" s="139"/>
      <c r="AA9" s="141"/>
      <c r="AB9" s="138"/>
      <c r="AC9" s="140"/>
      <c r="AD9" s="142"/>
      <c r="AE9" s="138"/>
      <c r="AF9" s="140"/>
      <c r="AG9" s="141"/>
      <c r="AH9" s="143"/>
      <c r="AI9" s="144"/>
      <c r="AJ9" s="145"/>
      <c r="AK9" s="144"/>
      <c r="AL9" s="144"/>
      <c r="AM9" s="375"/>
      <c r="AN9" s="133"/>
    </row>
    <row r="10" spans="1:40" ht="31.5" customHeight="1" x14ac:dyDescent="0.25">
      <c r="A10" s="28"/>
      <c r="B10" s="36"/>
      <c r="C10" s="30"/>
      <c r="D10" s="134"/>
      <c r="E10" s="36"/>
      <c r="F10" s="36"/>
      <c r="G10" s="36"/>
      <c r="H10" s="135"/>
      <c r="I10" s="39"/>
      <c r="J10" s="135"/>
      <c r="K10" s="29"/>
      <c r="L10" s="36"/>
      <c r="M10" s="30"/>
      <c r="N10" s="184"/>
      <c r="O10" s="136"/>
      <c r="P10" s="137"/>
      <c r="Q10" s="138"/>
      <c r="R10" s="139"/>
      <c r="S10" s="138"/>
      <c r="T10" s="140"/>
      <c r="U10" s="139"/>
      <c r="V10" s="138"/>
      <c r="W10" s="139"/>
      <c r="X10" s="139"/>
      <c r="Y10" s="139"/>
      <c r="Z10" s="139"/>
      <c r="AA10" s="141"/>
      <c r="AB10" s="138"/>
      <c r="AC10" s="140"/>
      <c r="AD10" s="142"/>
      <c r="AE10" s="138"/>
      <c r="AF10" s="140"/>
      <c r="AG10" s="141"/>
      <c r="AH10" s="143"/>
      <c r="AI10" s="144"/>
      <c r="AJ10" s="145"/>
      <c r="AK10" s="144"/>
      <c r="AL10" s="144"/>
      <c r="AM10" s="375"/>
      <c r="AN10" s="133"/>
    </row>
    <row r="11" spans="1:40" ht="31.5" customHeight="1" x14ac:dyDescent="0.25">
      <c r="A11" s="44"/>
      <c r="B11" s="52"/>
      <c r="C11" s="46"/>
      <c r="D11" s="146"/>
      <c r="E11" s="52"/>
      <c r="F11" s="52"/>
      <c r="G11" s="52"/>
      <c r="H11" s="147"/>
      <c r="I11" s="55"/>
      <c r="J11" s="147"/>
      <c r="K11" s="45"/>
      <c r="L11" s="52"/>
      <c r="M11" s="46"/>
      <c r="N11" s="185"/>
      <c r="O11" s="148"/>
      <c r="P11" s="149"/>
      <c r="Q11" s="150"/>
      <c r="R11" s="151"/>
      <c r="S11" s="150"/>
      <c r="T11" s="152"/>
      <c r="U11" s="151"/>
      <c r="V11" s="150"/>
      <c r="W11" s="151"/>
      <c r="X11" s="151"/>
      <c r="Y11" s="151"/>
      <c r="Z11" s="151"/>
      <c r="AA11" s="153"/>
      <c r="AB11" s="150"/>
      <c r="AC11" s="152"/>
      <c r="AD11" s="154"/>
      <c r="AE11" s="150"/>
      <c r="AF11" s="152"/>
      <c r="AG11" s="153"/>
      <c r="AH11" s="186"/>
      <c r="AI11" s="156"/>
      <c r="AJ11" s="157"/>
      <c r="AK11" s="156"/>
      <c r="AL11" s="156"/>
      <c r="AM11" s="234"/>
      <c r="AN11" s="133"/>
    </row>
    <row r="12" spans="1:40" ht="12" customHeight="1" x14ac:dyDescent="0.25">
      <c r="A12" s="27"/>
      <c r="B12" s="94"/>
      <c r="C12" s="94"/>
      <c r="D12" s="95"/>
      <c r="E12" s="95"/>
      <c r="F12" s="94"/>
      <c r="G12" s="94"/>
      <c r="H12" s="27"/>
      <c r="I12" s="27"/>
      <c r="J12" s="27"/>
      <c r="K12" s="96"/>
      <c r="L12" s="97"/>
      <c r="M12" s="94"/>
      <c r="N12" s="97"/>
      <c r="O12" s="94"/>
      <c r="P12" s="94"/>
      <c r="Q12" s="27"/>
      <c r="R12" s="94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94"/>
      <c r="AD12" s="96"/>
      <c r="AE12" s="96"/>
      <c r="AF12" s="96"/>
      <c r="AG12" s="96"/>
      <c r="AH12" s="27"/>
      <c r="AI12" s="27"/>
      <c r="AJ12" s="27"/>
      <c r="AK12" s="27"/>
      <c r="AL12" s="27"/>
      <c r="AM12" s="27"/>
      <c r="AN12" s="27"/>
    </row>
    <row r="13" spans="1:40" ht="21.75" customHeight="1" x14ac:dyDescent="0.25">
      <c r="A13" s="27"/>
      <c r="B13" s="94"/>
      <c r="C13" s="94"/>
      <c r="D13" s="95"/>
      <c r="E13" s="95"/>
      <c r="F13" s="94"/>
      <c r="G13" s="94"/>
      <c r="H13" s="27"/>
      <c r="I13" s="27"/>
      <c r="J13" s="27"/>
      <c r="K13" s="96"/>
      <c r="L13" s="97"/>
      <c r="M13" s="94"/>
      <c r="N13" s="97"/>
      <c r="O13" s="94"/>
      <c r="P13" s="94"/>
      <c r="Q13" s="27"/>
      <c r="R13" s="94"/>
      <c r="S13" s="27"/>
      <c r="T13" s="27"/>
      <c r="U13" s="27"/>
      <c r="V13" s="27">
        <f>9*I13</f>
        <v>0</v>
      </c>
      <c r="W13" s="27"/>
      <c r="X13" s="27">
        <v>10</v>
      </c>
      <c r="Y13" s="27">
        <v>30</v>
      </c>
      <c r="Z13" s="27"/>
      <c r="AA13" s="27"/>
      <c r="AB13" s="27">
        <v>20</v>
      </c>
      <c r="AC13" s="94"/>
      <c r="AD13" s="96"/>
      <c r="AE13" s="96"/>
      <c r="AF13" s="96"/>
      <c r="AG13" s="96"/>
      <c r="AH13" s="187">
        <f>SUM(AH4:AH12)</f>
        <v>4608.45</v>
      </c>
      <c r="AI13" s="27"/>
      <c r="AJ13" s="187">
        <f t="shared" ref="AJ13:AK13" si="0">SUM(AJ4:AJ12)</f>
        <v>117583407</v>
      </c>
      <c r="AK13" s="187">
        <f t="shared" si="0"/>
        <v>518598</v>
      </c>
      <c r="AL13" s="187"/>
      <c r="AM13" s="187"/>
      <c r="AN13" s="187">
        <f>SUM(AN4:AN12)</f>
        <v>118142005</v>
      </c>
    </row>
    <row r="14" spans="1:40" ht="12" customHeight="1" x14ac:dyDescent="0.25">
      <c r="A14" s="27"/>
      <c r="B14" s="94"/>
      <c r="C14" s="94"/>
      <c r="D14" s="95"/>
      <c r="E14" s="95"/>
      <c r="F14" s="94"/>
      <c r="G14" s="94"/>
      <c r="H14" s="27"/>
      <c r="I14" s="27"/>
      <c r="J14" s="27"/>
      <c r="K14" s="96"/>
      <c r="L14" s="97"/>
      <c r="M14" s="94"/>
      <c r="N14" s="97"/>
      <c r="O14" s="94"/>
      <c r="P14" s="94"/>
      <c r="Q14" s="27"/>
      <c r="R14" s="94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94"/>
      <c r="AD14" s="96"/>
      <c r="AE14" s="96"/>
      <c r="AF14" s="96"/>
      <c r="AG14" s="96"/>
      <c r="AH14" s="27"/>
      <c r="AI14" s="27"/>
      <c r="AJ14" s="27"/>
      <c r="AK14" s="27"/>
      <c r="AL14" s="27"/>
      <c r="AM14" s="27"/>
      <c r="AN14" s="27"/>
    </row>
    <row r="15" spans="1:40" ht="12" customHeight="1" x14ac:dyDescent="0.25">
      <c r="A15" s="27"/>
      <c r="B15" s="94"/>
      <c r="C15" s="94"/>
      <c r="D15" s="95"/>
      <c r="E15" s="95"/>
      <c r="F15" s="94"/>
      <c r="G15" s="94"/>
      <c r="H15" s="27"/>
      <c r="I15" s="27"/>
      <c r="J15" s="27"/>
      <c r="K15" s="96"/>
      <c r="L15" s="97"/>
      <c r="M15" s="94"/>
      <c r="N15" s="97"/>
      <c r="O15" s="94"/>
      <c r="P15" s="94"/>
      <c r="Q15" s="27"/>
      <c r="R15" s="94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94"/>
      <c r="AD15" s="96"/>
      <c r="AE15" s="96"/>
      <c r="AF15" s="96"/>
      <c r="AG15" s="96"/>
      <c r="AH15" s="27"/>
      <c r="AI15" s="27"/>
      <c r="AJ15" s="27"/>
      <c r="AK15" s="27"/>
      <c r="AL15" s="27"/>
      <c r="AM15" s="27"/>
      <c r="AN15" s="27"/>
    </row>
    <row r="16" spans="1:40" ht="12" customHeight="1" x14ac:dyDescent="0.25">
      <c r="A16" s="27"/>
      <c r="B16" s="94"/>
      <c r="C16" s="94"/>
      <c r="D16" s="95"/>
      <c r="E16" s="95"/>
      <c r="F16" s="94"/>
      <c r="G16" s="94"/>
      <c r="H16" s="27"/>
      <c r="I16" s="27"/>
      <c r="J16" s="27"/>
      <c r="K16" s="96"/>
      <c r="L16" s="97"/>
      <c r="M16" s="94"/>
      <c r="N16" s="97"/>
      <c r="O16" s="94"/>
      <c r="P16" s="94"/>
      <c r="Q16" s="27"/>
      <c r="R16" s="94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94"/>
      <c r="AD16" s="96"/>
      <c r="AE16" s="96"/>
      <c r="AF16" s="96"/>
      <c r="AG16" s="96"/>
      <c r="AH16" s="27"/>
      <c r="AI16" s="27"/>
      <c r="AJ16" s="27"/>
      <c r="AK16" s="27"/>
      <c r="AL16" s="27"/>
      <c r="AM16" s="27"/>
      <c r="AN16" s="27"/>
    </row>
    <row r="17" spans="1:40" ht="12" customHeight="1" x14ac:dyDescent="0.25">
      <c r="A17" s="27"/>
      <c r="B17" s="94"/>
      <c r="C17" s="94"/>
      <c r="D17" s="95"/>
      <c r="E17" s="95"/>
      <c r="F17" s="94"/>
      <c r="G17" s="94"/>
      <c r="H17" s="27"/>
      <c r="I17" s="27"/>
      <c r="J17" s="27"/>
      <c r="K17" s="96"/>
      <c r="L17" s="97"/>
      <c r="M17" s="94"/>
      <c r="N17" s="97"/>
      <c r="O17" s="94"/>
      <c r="P17" s="94"/>
      <c r="Q17" s="27"/>
      <c r="R17" s="94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94"/>
      <c r="AD17" s="96"/>
      <c r="AE17" s="96"/>
      <c r="AF17" s="96"/>
      <c r="AG17" s="96"/>
      <c r="AH17" s="27"/>
      <c r="AI17" s="27"/>
      <c r="AJ17" s="27"/>
      <c r="AK17" s="27"/>
      <c r="AL17" s="27"/>
      <c r="AM17" s="27"/>
      <c r="AN17" s="27"/>
    </row>
    <row r="18" spans="1:40" ht="28.5" customHeight="1" x14ac:dyDescent="0.25">
      <c r="A18" s="27"/>
      <c r="B18" s="94"/>
      <c r="C18" s="94"/>
      <c r="D18" s="95"/>
      <c r="E18" s="95"/>
      <c r="F18" s="94"/>
      <c r="G18" s="94"/>
      <c r="H18" s="27"/>
      <c r="I18" s="27"/>
      <c r="J18" s="27"/>
      <c r="K18" s="96"/>
      <c r="L18" s="97"/>
      <c r="M18" s="94"/>
      <c r="N18" s="97"/>
      <c r="O18" s="94"/>
      <c r="P18" s="94"/>
      <c r="Q18" s="27"/>
      <c r="R18" s="94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94"/>
      <c r="AD18" s="96"/>
      <c r="AE18" s="96"/>
      <c r="AF18" s="96"/>
      <c r="AG18" s="96"/>
      <c r="AH18" s="27"/>
      <c r="AI18" s="27"/>
      <c r="AJ18" s="27"/>
      <c r="AK18" s="27"/>
      <c r="AL18" s="27"/>
      <c r="AM18" s="27"/>
      <c r="AN18" s="27"/>
    </row>
    <row r="19" spans="1:40" ht="28.5" customHeight="1" x14ac:dyDescent="0.25">
      <c r="A19" s="27"/>
      <c r="B19" s="94"/>
      <c r="C19" s="94"/>
      <c r="D19" s="95"/>
      <c r="E19" s="95"/>
      <c r="F19" s="94"/>
      <c r="G19" s="94"/>
      <c r="H19" s="27"/>
      <c r="I19" s="27"/>
      <c r="J19" s="27"/>
      <c r="K19" s="96"/>
      <c r="L19" s="97"/>
      <c r="M19" s="94"/>
      <c r="N19" s="97"/>
      <c r="O19" s="94"/>
      <c r="P19" s="94"/>
      <c r="Q19" s="27"/>
      <c r="R19" s="94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94"/>
      <c r="AD19" s="96"/>
      <c r="AE19" s="96"/>
      <c r="AF19" s="96"/>
      <c r="AG19" s="96"/>
      <c r="AH19" s="27"/>
      <c r="AI19" s="27"/>
      <c r="AJ19" s="27"/>
      <c r="AK19" s="27"/>
      <c r="AL19" s="27"/>
      <c r="AM19" s="27"/>
      <c r="AN19" s="27"/>
    </row>
    <row r="20" spans="1:40" ht="28.5" customHeight="1" x14ac:dyDescent="0.25">
      <c r="A20" s="27"/>
      <c r="B20" s="94"/>
      <c r="C20" s="94"/>
      <c r="D20" s="95"/>
      <c r="E20" s="95"/>
      <c r="F20" s="94"/>
      <c r="G20" s="94"/>
      <c r="H20" s="27"/>
      <c r="I20" s="27"/>
      <c r="J20" s="27"/>
      <c r="K20" s="96"/>
      <c r="L20" s="97"/>
      <c r="M20" s="94"/>
      <c r="N20" s="97"/>
      <c r="O20" s="94"/>
      <c r="P20" s="94"/>
      <c r="Q20" s="27"/>
      <c r="R20" s="94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94"/>
      <c r="AD20" s="96"/>
      <c r="AE20" s="96"/>
      <c r="AF20" s="96"/>
      <c r="AG20" s="96"/>
      <c r="AH20" s="27"/>
      <c r="AI20" s="27"/>
      <c r="AJ20" s="27"/>
      <c r="AK20" s="27"/>
      <c r="AL20" s="27"/>
      <c r="AM20" s="27"/>
      <c r="AN20" s="27"/>
    </row>
    <row r="21" spans="1:40" ht="28.5" customHeight="1" x14ac:dyDescent="0.25">
      <c r="A21" s="27"/>
      <c r="B21" s="94"/>
      <c r="C21" s="94"/>
      <c r="D21" s="95"/>
      <c r="E21" s="95"/>
      <c r="F21" s="94"/>
      <c r="G21" s="94"/>
      <c r="H21" s="27"/>
      <c r="I21" s="27"/>
      <c r="J21" s="27"/>
      <c r="K21" s="96"/>
      <c r="L21" s="97"/>
      <c r="M21" s="94"/>
      <c r="N21" s="97"/>
      <c r="O21" s="94"/>
      <c r="P21" s="94"/>
      <c r="Q21" s="27"/>
      <c r="R21" s="94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94"/>
      <c r="AD21" s="96"/>
      <c r="AE21" s="96"/>
      <c r="AF21" s="96"/>
      <c r="AG21" s="96"/>
      <c r="AH21" s="27"/>
      <c r="AI21" s="27"/>
      <c r="AJ21" s="27"/>
      <c r="AK21" s="27"/>
      <c r="AL21" s="27"/>
      <c r="AM21" s="27"/>
      <c r="AN21" s="27"/>
    </row>
    <row r="22" spans="1:40" ht="28.5" customHeight="1" x14ac:dyDescent="0.25">
      <c r="A22" s="27"/>
      <c r="B22" s="94"/>
      <c r="C22" s="94"/>
      <c r="D22" s="95"/>
      <c r="E22" s="95"/>
      <c r="F22" s="94"/>
      <c r="G22" s="94"/>
      <c r="H22" s="27"/>
      <c r="I22" s="27"/>
      <c r="J22" s="27"/>
      <c r="K22" s="96"/>
      <c r="L22" s="97"/>
      <c r="M22" s="94"/>
      <c r="N22" s="97"/>
      <c r="O22" s="94"/>
      <c r="P22" s="94"/>
      <c r="Q22" s="27"/>
      <c r="R22" s="94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94"/>
      <c r="AD22" s="96"/>
      <c r="AE22" s="96"/>
      <c r="AF22" s="96"/>
      <c r="AG22" s="96"/>
      <c r="AH22" s="27"/>
      <c r="AI22" s="27"/>
      <c r="AJ22" s="27"/>
      <c r="AK22" s="27"/>
      <c r="AL22" s="27"/>
      <c r="AM22" s="27"/>
      <c r="AN22" s="27"/>
    </row>
    <row r="23" spans="1:40" ht="28.5" customHeight="1" x14ac:dyDescent="0.25">
      <c r="A23" s="27"/>
      <c r="B23" s="94"/>
      <c r="C23" s="94"/>
      <c r="D23" s="95"/>
      <c r="E23" s="95"/>
      <c r="F23" s="94"/>
      <c r="G23" s="94"/>
      <c r="H23" s="27"/>
      <c r="I23" s="27"/>
      <c r="J23" s="27"/>
      <c r="K23" s="96"/>
      <c r="L23" s="97"/>
      <c r="M23" s="94"/>
      <c r="N23" s="97"/>
      <c r="O23" s="94"/>
      <c r="P23" s="94"/>
      <c r="Q23" s="27"/>
      <c r="R23" s="94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94"/>
      <c r="AD23" s="96"/>
      <c r="AE23" s="96"/>
      <c r="AF23" s="96"/>
      <c r="AG23" s="96"/>
      <c r="AH23" s="27"/>
      <c r="AI23" s="27"/>
      <c r="AJ23" s="27"/>
      <c r="AK23" s="27"/>
      <c r="AL23" s="27"/>
      <c r="AM23" s="27"/>
      <c r="AN23" s="27"/>
    </row>
    <row r="24" spans="1:40" ht="28.5" customHeight="1" x14ac:dyDescent="0.25">
      <c r="A24" s="27"/>
      <c r="B24" s="94"/>
      <c r="C24" s="94"/>
      <c r="D24" s="95"/>
      <c r="E24" s="95"/>
      <c r="F24" s="94"/>
      <c r="G24" s="94"/>
      <c r="H24" s="27"/>
      <c r="I24" s="27"/>
      <c r="J24" s="27"/>
      <c r="K24" s="96"/>
      <c r="L24" s="97"/>
      <c r="M24" s="94"/>
      <c r="N24" s="97"/>
      <c r="O24" s="94"/>
      <c r="P24" s="94"/>
      <c r="Q24" s="27"/>
      <c r="R24" s="94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94"/>
      <c r="AD24" s="96"/>
      <c r="AE24" s="96"/>
      <c r="AF24" s="96"/>
      <c r="AG24" s="96"/>
      <c r="AH24" s="27"/>
      <c r="AI24" s="27"/>
      <c r="AJ24" s="27"/>
      <c r="AK24" s="27"/>
      <c r="AL24" s="27"/>
      <c r="AM24" s="27"/>
      <c r="AN24" s="27"/>
    </row>
    <row r="25" spans="1:40" ht="12" customHeight="1" x14ac:dyDescent="0.25">
      <c r="A25" s="27"/>
      <c r="B25" s="94"/>
      <c r="C25" s="94"/>
      <c r="D25" s="95"/>
      <c r="E25" s="95"/>
      <c r="F25" s="94"/>
      <c r="G25" s="94"/>
      <c r="H25" s="27"/>
      <c r="I25" s="27"/>
      <c r="J25" s="27"/>
      <c r="K25" s="96"/>
      <c r="L25" s="97"/>
      <c r="M25" s="94"/>
      <c r="N25" s="97"/>
      <c r="O25" s="94"/>
      <c r="P25" s="94"/>
      <c r="Q25" s="27"/>
      <c r="R25" s="94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94"/>
      <c r="AD25" s="96"/>
      <c r="AE25" s="96"/>
      <c r="AF25" s="96"/>
      <c r="AG25" s="96"/>
      <c r="AH25" s="27"/>
      <c r="AI25" s="27"/>
      <c r="AJ25" s="27"/>
      <c r="AK25" s="27"/>
      <c r="AL25" s="27"/>
      <c r="AM25" s="27"/>
      <c r="AN25" s="27"/>
    </row>
    <row r="26" spans="1:40" ht="12" customHeight="1" x14ac:dyDescent="0.25">
      <c r="A26" s="27"/>
      <c r="B26" s="94"/>
      <c r="C26" s="94"/>
      <c r="D26" s="95"/>
      <c r="E26" s="95"/>
      <c r="F26" s="94"/>
      <c r="G26" s="94"/>
      <c r="H26" s="27"/>
      <c r="I26" s="27"/>
      <c r="J26" s="27"/>
      <c r="K26" s="96"/>
      <c r="L26" s="97"/>
      <c r="M26" s="94"/>
      <c r="N26" s="97"/>
      <c r="O26" s="94"/>
      <c r="P26" s="94"/>
      <c r="Q26" s="27"/>
      <c r="R26" s="94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94"/>
      <c r="AD26" s="96"/>
      <c r="AE26" s="96"/>
      <c r="AF26" s="96"/>
      <c r="AG26" s="96"/>
      <c r="AH26" s="27"/>
      <c r="AI26" s="27"/>
      <c r="AJ26" s="27"/>
      <c r="AK26" s="27"/>
      <c r="AL26" s="27"/>
      <c r="AM26" s="27"/>
      <c r="AN26" s="27"/>
    </row>
    <row r="27" spans="1:40" ht="12" customHeight="1" x14ac:dyDescent="0.25">
      <c r="A27" s="27"/>
      <c r="B27" s="94"/>
      <c r="C27" s="94"/>
      <c r="D27" s="95"/>
      <c r="E27" s="95"/>
      <c r="F27" s="94"/>
      <c r="G27" s="94"/>
      <c r="H27" s="27"/>
      <c r="I27" s="27"/>
      <c r="J27" s="27"/>
      <c r="K27" s="96"/>
      <c r="L27" s="97"/>
      <c r="M27" s="94"/>
      <c r="N27" s="97"/>
      <c r="O27" s="94"/>
      <c r="P27" s="94"/>
      <c r="Q27" s="27"/>
      <c r="R27" s="94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94"/>
      <c r="AD27" s="96"/>
      <c r="AE27" s="96"/>
      <c r="AF27" s="96"/>
      <c r="AG27" s="96"/>
      <c r="AH27" s="27"/>
      <c r="AI27" s="27"/>
      <c r="AJ27" s="27"/>
      <c r="AK27" s="27"/>
      <c r="AL27" s="27"/>
      <c r="AM27" s="27"/>
      <c r="AN27" s="27"/>
    </row>
    <row r="28" spans="1:40" ht="12" customHeight="1" x14ac:dyDescent="0.25">
      <c r="A28" s="27"/>
      <c r="B28" s="94"/>
      <c r="C28" s="94"/>
      <c r="D28" s="95"/>
      <c r="E28" s="95"/>
      <c r="F28" s="94"/>
      <c r="G28" s="94"/>
      <c r="H28" s="27"/>
      <c r="I28" s="27"/>
      <c r="J28" s="27"/>
      <c r="K28" s="96"/>
      <c r="L28" s="97"/>
      <c r="M28" s="94"/>
      <c r="N28" s="97"/>
      <c r="O28" s="94"/>
      <c r="P28" s="94"/>
      <c r="Q28" s="27"/>
      <c r="R28" s="94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94"/>
      <c r="AD28" s="96"/>
      <c r="AE28" s="96"/>
      <c r="AF28" s="96"/>
      <c r="AG28" s="96"/>
      <c r="AH28" s="27"/>
      <c r="AI28" s="27"/>
      <c r="AJ28" s="27"/>
      <c r="AK28" s="27"/>
      <c r="AL28" s="27"/>
      <c r="AM28" s="27"/>
      <c r="AN28" s="27"/>
    </row>
    <row r="29" spans="1:40" ht="12" customHeight="1" x14ac:dyDescent="0.25">
      <c r="A29" s="27"/>
      <c r="B29" s="94"/>
      <c r="C29" s="94"/>
      <c r="D29" s="95"/>
      <c r="E29" s="95"/>
      <c r="F29" s="94"/>
      <c r="G29" s="94"/>
      <c r="H29" s="27"/>
      <c r="I29" s="27"/>
      <c r="J29" s="27"/>
      <c r="K29" s="96"/>
      <c r="L29" s="97"/>
      <c r="M29" s="94"/>
      <c r="N29" s="97"/>
      <c r="O29" s="94"/>
      <c r="P29" s="94"/>
      <c r="Q29" s="27"/>
      <c r="R29" s="94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94"/>
      <c r="AD29" s="96"/>
      <c r="AE29" s="96"/>
      <c r="AF29" s="96"/>
      <c r="AG29" s="96"/>
      <c r="AH29" s="27"/>
      <c r="AI29" s="27"/>
      <c r="AJ29" s="27"/>
      <c r="AK29" s="27"/>
      <c r="AL29" s="27"/>
      <c r="AM29" s="27"/>
      <c r="AN29" s="27"/>
    </row>
    <row r="30" spans="1:40" ht="12" customHeight="1" x14ac:dyDescent="0.25">
      <c r="A30" s="27"/>
      <c r="B30" s="94"/>
      <c r="C30" s="94"/>
      <c r="D30" s="95"/>
      <c r="E30" s="95"/>
      <c r="F30" s="94"/>
      <c r="G30" s="94"/>
      <c r="H30" s="27"/>
      <c r="I30" s="27"/>
      <c r="J30" s="27"/>
      <c r="K30" s="96"/>
      <c r="L30" s="97"/>
      <c r="M30" s="94"/>
      <c r="N30" s="97"/>
      <c r="O30" s="94"/>
      <c r="P30" s="94"/>
      <c r="Q30" s="27"/>
      <c r="R30" s="94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94"/>
      <c r="AD30" s="96"/>
      <c r="AE30" s="96"/>
      <c r="AF30" s="96"/>
      <c r="AG30" s="96"/>
      <c r="AH30" s="27"/>
      <c r="AI30" s="27"/>
      <c r="AJ30" s="27"/>
      <c r="AK30" s="27"/>
      <c r="AL30" s="27"/>
      <c r="AM30" s="27"/>
      <c r="AN30" s="27"/>
    </row>
    <row r="31" spans="1:40" ht="12" customHeight="1" x14ac:dyDescent="0.25">
      <c r="A31" s="27"/>
      <c r="B31" s="94"/>
      <c r="C31" s="94"/>
      <c r="D31" s="95"/>
      <c r="E31" s="95"/>
      <c r="F31" s="94"/>
      <c r="G31" s="94"/>
      <c r="H31" s="27"/>
      <c r="I31" s="27"/>
      <c r="J31" s="27"/>
      <c r="K31" s="96"/>
      <c r="L31" s="97"/>
      <c r="M31" s="94"/>
      <c r="N31" s="97"/>
      <c r="O31" s="94"/>
      <c r="P31" s="94"/>
      <c r="Q31" s="27"/>
      <c r="R31" s="94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94"/>
      <c r="AD31" s="96"/>
      <c r="AE31" s="96"/>
      <c r="AF31" s="96"/>
      <c r="AG31" s="96"/>
      <c r="AH31" s="27"/>
      <c r="AI31" s="27"/>
      <c r="AJ31" s="27"/>
      <c r="AK31" s="27"/>
      <c r="AL31" s="27"/>
      <c r="AM31" s="27"/>
      <c r="AN31" s="27"/>
    </row>
    <row r="32" spans="1:40" ht="12" customHeight="1" x14ac:dyDescent="0.25">
      <c r="A32" s="27"/>
      <c r="B32" s="94"/>
      <c r="C32" s="94"/>
      <c r="D32" s="95"/>
      <c r="E32" s="95"/>
      <c r="F32" s="94"/>
      <c r="G32" s="94"/>
      <c r="H32" s="27"/>
      <c r="I32" s="27"/>
      <c r="J32" s="27"/>
      <c r="K32" s="96"/>
      <c r="L32" s="97"/>
      <c r="M32" s="94"/>
      <c r="N32" s="97"/>
      <c r="O32" s="94"/>
      <c r="P32" s="94"/>
      <c r="Q32" s="27"/>
      <c r="R32" s="94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94"/>
      <c r="AD32" s="96"/>
      <c r="AE32" s="96"/>
      <c r="AF32" s="96"/>
      <c r="AG32" s="96"/>
      <c r="AH32" s="27"/>
      <c r="AI32" s="27"/>
      <c r="AJ32" s="27"/>
      <c r="AK32" s="27"/>
      <c r="AL32" s="27"/>
      <c r="AM32" s="27"/>
      <c r="AN32" s="27"/>
    </row>
    <row r="33" spans="1:40" ht="12" customHeight="1" x14ac:dyDescent="0.25">
      <c r="A33" s="27"/>
      <c r="B33" s="94"/>
      <c r="C33" s="94"/>
      <c r="D33" s="95"/>
      <c r="E33" s="95"/>
      <c r="F33" s="94"/>
      <c r="G33" s="94"/>
      <c r="H33" s="27"/>
      <c r="I33" s="27"/>
      <c r="J33" s="27"/>
      <c r="K33" s="96"/>
      <c r="L33" s="97"/>
      <c r="M33" s="94"/>
      <c r="N33" s="97"/>
      <c r="O33" s="94"/>
      <c r="P33" s="94"/>
      <c r="Q33" s="27"/>
      <c r="R33" s="94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94"/>
      <c r="AD33" s="96"/>
      <c r="AE33" s="96"/>
      <c r="AF33" s="96"/>
      <c r="AG33" s="96"/>
      <c r="AH33" s="27"/>
      <c r="AI33" s="27"/>
      <c r="AJ33" s="27"/>
      <c r="AK33" s="27"/>
      <c r="AL33" s="27"/>
      <c r="AM33" s="27"/>
      <c r="AN33" s="27"/>
    </row>
    <row r="34" spans="1:40" ht="12" customHeight="1" x14ac:dyDescent="0.25">
      <c r="A34" s="27"/>
      <c r="B34" s="94"/>
      <c r="C34" s="94"/>
      <c r="D34" s="95"/>
      <c r="E34" s="95"/>
      <c r="F34" s="94"/>
      <c r="G34" s="94"/>
      <c r="H34" s="27"/>
      <c r="I34" s="27"/>
      <c r="J34" s="27"/>
      <c r="K34" s="96"/>
      <c r="L34" s="97"/>
      <c r="M34" s="94"/>
      <c r="N34" s="97"/>
      <c r="O34" s="94"/>
      <c r="P34" s="94"/>
      <c r="Q34" s="27"/>
      <c r="R34" s="94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94"/>
      <c r="AD34" s="96"/>
      <c r="AE34" s="96"/>
      <c r="AF34" s="96"/>
      <c r="AG34" s="96"/>
      <c r="AH34" s="27"/>
      <c r="AI34" s="27"/>
      <c r="AJ34" s="27"/>
      <c r="AK34" s="27"/>
      <c r="AL34" s="27"/>
      <c r="AM34" s="27"/>
      <c r="AN34" s="27"/>
    </row>
    <row r="35" spans="1:40" ht="12" customHeight="1" x14ac:dyDescent="0.25">
      <c r="A35" s="27"/>
      <c r="B35" s="94"/>
      <c r="C35" s="94"/>
      <c r="D35" s="95"/>
      <c r="E35" s="95"/>
      <c r="F35" s="94"/>
      <c r="G35" s="94"/>
      <c r="H35" s="27"/>
      <c r="I35" s="27"/>
      <c r="J35" s="27"/>
      <c r="K35" s="96"/>
      <c r="L35" s="97"/>
      <c r="M35" s="94"/>
      <c r="N35" s="97"/>
      <c r="O35" s="94"/>
      <c r="P35" s="94"/>
      <c r="Q35" s="27"/>
      <c r="R35" s="94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94"/>
      <c r="AD35" s="96"/>
      <c r="AE35" s="96"/>
      <c r="AF35" s="96"/>
      <c r="AG35" s="96"/>
      <c r="AH35" s="27"/>
      <c r="AI35" s="27"/>
      <c r="AJ35" s="27"/>
      <c r="AK35" s="27"/>
      <c r="AL35" s="27"/>
      <c r="AM35" s="27"/>
      <c r="AN35" s="27"/>
    </row>
    <row r="36" spans="1:40" ht="12" customHeight="1" x14ac:dyDescent="0.25">
      <c r="A36" s="27"/>
      <c r="B36" s="94"/>
      <c r="C36" s="94"/>
      <c r="D36" s="95"/>
      <c r="E36" s="95"/>
      <c r="F36" s="94"/>
      <c r="G36" s="94"/>
      <c r="H36" s="27"/>
      <c r="I36" s="27"/>
      <c r="J36" s="27"/>
      <c r="K36" s="96"/>
      <c r="L36" s="97"/>
      <c r="M36" s="94"/>
      <c r="N36" s="97"/>
      <c r="O36" s="94"/>
      <c r="P36" s="94"/>
      <c r="Q36" s="27"/>
      <c r="R36" s="94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94"/>
      <c r="AD36" s="96"/>
      <c r="AE36" s="96"/>
      <c r="AF36" s="96"/>
      <c r="AG36" s="96"/>
      <c r="AH36" s="27"/>
      <c r="AI36" s="27"/>
      <c r="AJ36" s="27"/>
      <c r="AK36" s="27"/>
      <c r="AL36" s="27"/>
      <c r="AM36" s="27"/>
      <c r="AN36" s="27"/>
    </row>
    <row r="37" spans="1:40" ht="12" customHeight="1" x14ac:dyDescent="0.25">
      <c r="A37" s="27"/>
      <c r="B37" s="94"/>
      <c r="C37" s="94"/>
      <c r="D37" s="95"/>
      <c r="E37" s="95"/>
      <c r="F37" s="94"/>
      <c r="G37" s="94"/>
      <c r="H37" s="27"/>
      <c r="I37" s="27"/>
      <c r="J37" s="27"/>
      <c r="K37" s="96"/>
      <c r="L37" s="97"/>
      <c r="M37" s="94"/>
      <c r="N37" s="97"/>
      <c r="O37" s="94"/>
      <c r="P37" s="94"/>
      <c r="Q37" s="27"/>
      <c r="R37" s="94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94"/>
      <c r="AD37" s="96"/>
      <c r="AE37" s="96"/>
      <c r="AF37" s="96"/>
      <c r="AG37" s="96"/>
      <c r="AH37" s="27"/>
      <c r="AI37" s="27"/>
      <c r="AJ37" s="27"/>
      <c r="AK37" s="27"/>
      <c r="AL37" s="27"/>
      <c r="AM37" s="27"/>
      <c r="AN37" s="27"/>
    </row>
    <row r="38" spans="1:40" ht="12" customHeight="1" x14ac:dyDescent="0.25">
      <c r="A38" s="27"/>
      <c r="B38" s="94"/>
      <c r="C38" s="94"/>
      <c r="D38" s="95"/>
      <c r="E38" s="95"/>
      <c r="F38" s="94"/>
      <c r="G38" s="94"/>
      <c r="H38" s="27"/>
      <c r="I38" s="27"/>
      <c r="J38" s="27"/>
      <c r="K38" s="96"/>
      <c r="L38" s="97"/>
      <c r="M38" s="94"/>
      <c r="N38" s="97"/>
      <c r="O38" s="94"/>
      <c r="P38" s="94"/>
      <c r="Q38" s="27"/>
      <c r="R38" s="94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94"/>
      <c r="AD38" s="96"/>
      <c r="AE38" s="96"/>
      <c r="AF38" s="96"/>
      <c r="AG38" s="96"/>
      <c r="AH38" s="27"/>
      <c r="AI38" s="27"/>
      <c r="AJ38" s="27"/>
      <c r="AK38" s="27"/>
      <c r="AL38" s="27"/>
      <c r="AM38" s="27"/>
      <c r="AN38" s="27"/>
    </row>
    <row r="39" spans="1:40" ht="12" customHeight="1" x14ac:dyDescent="0.25">
      <c r="A39" s="27"/>
      <c r="B39" s="94"/>
      <c r="C39" s="94"/>
      <c r="D39" s="95"/>
      <c r="E39" s="95"/>
      <c r="F39" s="94"/>
      <c r="G39" s="94"/>
      <c r="H39" s="27"/>
      <c r="I39" s="27"/>
      <c r="J39" s="27"/>
      <c r="K39" s="96"/>
      <c r="L39" s="97"/>
      <c r="M39" s="94"/>
      <c r="N39" s="97"/>
      <c r="O39" s="94"/>
      <c r="P39" s="94"/>
      <c r="Q39" s="27"/>
      <c r="R39" s="94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94"/>
      <c r="AD39" s="96"/>
      <c r="AE39" s="96"/>
      <c r="AF39" s="96"/>
      <c r="AG39" s="96"/>
      <c r="AH39" s="27"/>
      <c r="AI39" s="27"/>
      <c r="AJ39" s="27"/>
      <c r="AK39" s="27"/>
      <c r="AL39" s="27"/>
      <c r="AM39" s="27"/>
      <c r="AN39" s="27"/>
    </row>
    <row r="40" spans="1:40" ht="12" customHeight="1" x14ac:dyDescent="0.25">
      <c r="A40" s="27"/>
      <c r="B40" s="94"/>
      <c r="C40" s="94"/>
      <c r="D40" s="95"/>
      <c r="E40" s="95"/>
      <c r="F40" s="94"/>
      <c r="G40" s="94"/>
      <c r="H40" s="27"/>
      <c r="I40" s="27"/>
      <c r="J40" s="27"/>
      <c r="K40" s="96"/>
      <c r="L40" s="97"/>
      <c r="M40" s="94"/>
      <c r="N40" s="97"/>
      <c r="O40" s="94"/>
      <c r="P40" s="94"/>
      <c r="Q40" s="27"/>
      <c r="R40" s="94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94"/>
      <c r="AD40" s="96"/>
      <c r="AE40" s="96"/>
      <c r="AF40" s="96"/>
      <c r="AG40" s="96"/>
      <c r="AH40" s="27"/>
      <c r="AI40" s="27"/>
      <c r="AJ40" s="27"/>
      <c r="AK40" s="27"/>
      <c r="AL40" s="27"/>
      <c r="AM40" s="27"/>
      <c r="AN40" s="27"/>
    </row>
    <row r="41" spans="1:40" ht="12" customHeight="1" x14ac:dyDescent="0.25">
      <c r="A41" s="27"/>
      <c r="B41" s="94"/>
      <c r="C41" s="94"/>
      <c r="D41" s="95"/>
      <c r="E41" s="95"/>
      <c r="F41" s="94"/>
      <c r="G41" s="94"/>
      <c r="H41" s="27"/>
      <c r="I41" s="27"/>
      <c r="J41" s="27"/>
      <c r="K41" s="96"/>
      <c r="L41" s="97"/>
      <c r="M41" s="94"/>
      <c r="N41" s="97"/>
      <c r="O41" s="94"/>
      <c r="P41" s="94"/>
      <c r="Q41" s="27"/>
      <c r="R41" s="94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94"/>
      <c r="AD41" s="96"/>
      <c r="AE41" s="96"/>
      <c r="AF41" s="96"/>
      <c r="AG41" s="96"/>
      <c r="AH41" s="27"/>
      <c r="AI41" s="27"/>
      <c r="AJ41" s="27"/>
      <c r="AK41" s="27"/>
      <c r="AL41" s="27"/>
      <c r="AM41" s="27"/>
      <c r="AN41" s="27"/>
    </row>
    <row r="42" spans="1:40" ht="12" customHeight="1" x14ac:dyDescent="0.25">
      <c r="A42" s="27"/>
      <c r="B42" s="94"/>
      <c r="C42" s="94"/>
      <c r="D42" s="95"/>
      <c r="E42" s="95"/>
      <c r="F42" s="94"/>
      <c r="G42" s="94"/>
      <c r="H42" s="27"/>
      <c r="I42" s="27"/>
      <c r="J42" s="27"/>
      <c r="K42" s="96"/>
      <c r="L42" s="97"/>
      <c r="M42" s="94"/>
      <c r="N42" s="97"/>
      <c r="O42" s="94"/>
      <c r="P42" s="94"/>
      <c r="Q42" s="27"/>
      <c r="R42" s="94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94"/>
      <c r="AD42" s="96"/>
      <c r="AE42" s="96"/>
      <c r="AF42" s="96"/>
      <c r="AG42" s="96"/>
      <c r="AH42" s="27"/>
      <c r="AI42" s="27"/>
      <c r="AJ42" s="27"/>
      <c r="AK42" s="27"/>
      <c r="AL42" s="27"/>
      <c r="AM42" s="27"/>
      <c r="AN42" s="27"/>
    </row>
    <row r="43" spans="1:40" ht="12" customHeight="1" x14ac:dyDescent="0.25">
      <c r="A43" s="27"/>
      <c r="B43" s="94"/>
      <c r="C43" s="94"/>
      <c r="D43" s="95"/>
      <c r="E43" s="95"/>
      <c r="F43" s="94"/>
      <c r="G43" s="94"/>
      <c r="H43" s="27"/>
      <c r="I43" s="27"/>
      <c r="J43" s="27"/>
      <c r="K43" s="96"/>
      <c r="L43" s="97"/>
      <c r="M43" s="94"/>
      <c r="N43" s="97"/>
      <c r="O43" s="94"/>
      <c r="P43" s="94"/>
      <c r="Q43" s="27"/>
      <c r="R43" s="94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94"/>
      <c r="AD43" s="96"/>
      <c r="AE43" s="96"/>
      <c r="AF43" s="96"/>
      <c r="AG43" s="96"/>
      <c r="AH43" s="27"/>
      <c r="AI43" s="27"/>
      <c r="AJ43" s="27"/>
      <c r="AK43" s="27"/>
      <c r="AL43" s="27"/>
      <c r="AM43" s="27"/>
      <c r="AN43" s="27"/>
    </row>
    <row r="44" spans="1:40" ht="12" customHeight="1" x14ac:dyDescent="0.25">
      <c r="A44" s="27"/>
      <c r="B44" s="94"/>
      <c r="C44" s="94"/>
      <c r="D44" s="95"/>
      <c r="E44" s="95"/>
      <c r="F44" s="94"/>
      <c r="G44" s="94"/>
      <c r="H44" s="27"/>
      <c r="I44" s="27"/>
      <c r="J44" s="27"/>
      <c r="K44" s="96"/>
      <c r="L44" s="97"/>
      <c r="M44" s="94"/>
      <c r="N44" s="97"/>
      <c r="O44" s="94"/>
      <c r="P44" s="94"/>
      <c r="Q44" s="27"/>
      <c r="R44" s="94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94"/>
      <c r="AD44" s="96"/>
      <c r="AE44" s="96"/>
      <c r="AF44" s="96"/>
      <c r="AG44" s="96"/>
      <c r="AH44" s="27"/>
      <c r="AI44" s="27"/>
      <c r="AJ44" s="27"/>
      <c r="AK44" s="27"/>
      <c r="AL44" s="27"/>
      <c r="AM44" s="27"/>
      <c r="AN44" s="27"/>
    </row>
    <row r="45" spans="1:40" ht="12" customHeight="1" x14ac:dyDescent="0.25">
      <c r="A45" s="27"/>
      <c r="B45" s="94"/>
      <c r="C45" s="94"/>
      <c r="D45" s="95"/>
      <c r="E45" s="95"/>
      <c r="F45" s="94"/>
      <c r="G45" s="94"/>
      <c r="H45" s="27"/>
      <c r="I45" s="27"/>
      <c r="J45" s="27"/>
      <c r="K45" s="96"/>
      <c r="L45" s="97"/>
      <c r="M45" s="94"/>
      <c r="N45" s="97"/>
      <c r="O45" s="94"/>
      <c r="P45" s="94"/>
      <c r="Q45" s="27"/>
      <c r="R45" s="94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/>
      <c r="AD45" s="96"/>
      <c r="AE45" s="96"/>
      <c r="AF45" s="96"/>
      <c r="AG45" s="96"/>
      <c r="AH45" s="27"/>
      <c r="AI45" s="27"/>
      <c r="AJ45" s="27"/>
      <c r="AK45" s="27"/>
      <c r="AL45" s="27"/>
      <c r="AM45" s="27"/>
      <c r="AN45" s="27"/>
    </row>
    <row r="46" spans="1:40" ht="12" customHeight="1" x14ac:dyDescent="0.25">
      <c r="A46" s="27"/>
      <c r="B46" s="94"/>
      <c r="C46" s="94"/>
      <c r="D46" s="95"/>
      <c r="E46" s="95"/>
      <c r="F46" s="94"/>
      <c r="G46" s="94"/>
      <c r="H46" s="27"/>
      <c r="I46" s="27"/>
      <c r="J46" s="27"/>
      <c r="K46" s="96"/>
      <c r="L46" s="97"/>
      <c r="M46" s="94"/>
      <c r="N46" s="97"/>
      <c r="O46" s="94"/>
      <c r="P46" s="94"/>
      <c r="Q46" s="27"/>
      <c r="R46" s="94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/>
      <c r="AD46" s="96"/>
      <c r="AE46" s="96"/>
      <c r="AF46" s="96"/>
      <c r="AG46" s="96"/>
      <c r="AH46" s="27"/>
      <c r="AI46" s="27"/>
      <c r="AJ46" s="27"/>
      <c r="AK46" s="27"/>
      <c r="AL46" s="27"/>
      <c r="AM46" s="27"/>
      <c r="AN46" s="27"/>
    </row>
    <row r="47" spans="1:40" ht="12" customHeight="1" x14ac:dyDescent="0.25">
      <c r="A47" s="27"/>
      <c r="B47" s="94"/>
      <c r="C47" s="94"/>
      <c r="D47" s="95"/>
      <c r="E47" s="95"/>
      <c r="F47" s="94"/>
      <c r="G47" s="94"/>
      <c r="H47" s="27"/>
      <c r="I47" s="27"/>
      <c r="J47" s="27"/>
      <c r="K47" s="96"/>
      <c r="L47" s="97"/>
      <c r="M47" s="94"/>
      <c r="N47" s="97"/>
      <c r="O47" s="94"/>
      <c r="P47" s="94"/>
      <c r="Q47" s="27"/>
      <c r="R47" s="94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94"/>
      <c r="AD47" s="96"/>
      <c r="AE47" s="96"/>
      <c r="AF47" s="96"/>
      <c r="AG47" s="96"/>
      <c r="AH47" s="27"/>
      <c r="AI47" s="27"/>
      <c r="AJ47" s="27"/>
      <c r="AK47" s="27"/>
      <c r="AL47" s="27"/>
      <c r="AM47" s="27"/>
      <c r="AN47" s="27"/>
    </row>
    <row r="48" spans="1:40" ht="12" customHeight="1" x14ac:dyDescent="0.25">
      <c r="A48" s="27"/>
      <c r="B48" s="94"/>
      <c r="C48" s="94"/>
      <c r="D48" s="95"/>
      <c r="E48" s="95"/>
      <c r="F48" s="94"/>
      <c r="G48" s="94"/>
      <c r="H48" s="27"/>
      <c r="I48" s="27"/>
      <c r="J48" s="27"/>
      <c r="K48" s="96"/>
      <c r="L48" s="97"/>
      <c r="M48" s="94"/>
      <c r="N48" s="97"/>
      <c r="O48" s="94"/>
      <c r="P48" s="94"/>
      <c r="Q48" s="27"/>
      <c r="R48" s="94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94"/>
      <c r="AD48" s="96"/>
      <c r="AE48" s="96"/>
      <c r="AF48" s="96"/>
      <c r="AG48" s="96"/>
      <c r="AH48" s="27"/>
      <c r="AI48" s="27"/>
      <c r="AJ48" s="27"/>
      <c r="AK48" s="27"/>
      <c r="AL48" s="27"/>
      <c r="AM48" s="27"/>
      <c r="AN48" s="27"/>
    </row>
    <row r="49" spans="1:40" ht="12" customHeight="1" x14ac:dyDescent="0.25">
      <c r="A49" s="27"/>
      <c r="B49" s="94"/>
      <c r="C49" s="94"/>
      <c r="D49" s="95"/>
      <c r="E49" s="95"/>
      <c r="F49" s="94"/>
      <c r="G49" s="94"/>
      <c r="H49" s="27"/>
      <c r="I49" s="27"/>
      <c r="J49" s="27"/>
      <c r="K49" s="96"/>
      <c r="L49" s="97"/>
      <c r="M49" s="94"/>
      <c r="N49" s="97"/>
      <c r="O49" s="94"/>
      <c r="P49" s="94"/>
      <c r="Q49" s="27"/>
      <c r="R49" s="94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94"/>
      <c r="AD49" s="96"/>
      <c r="AE49" s="96"/>
      <c r="AF49" s="96"/>
      <c r="AG49" s="96"/>
      <c r="AH49" s="27"/>
      <c r="AI49" s="27"/>
      <c r="AJ49" s="27"/>
      <c r="AK49" s="27"/>
      <c r="AL49" s="27"/>
      <c r="AM49" s="27"/>
      <c r="AN49" s="27"/>
    </row>
    <row r="50" spans="1:40" ht="12" customHeight="1" x14ac:dyDescent="0.25">
      <c r="A50" s="27"/>
      <c r="B50" s="94"/>
      <c r="C50" s="94"/>
      <c r="D50" s="95"/>
      <c r="E50" s="95"/>
      <c r="F50" s="94"/>
      <c r="G50" s="94"/>
      <c r="H50" s="27"/>
      <c r="I50" s="27"/>
      <c r="J50" s="27"/>
      <c r="K50" s="96"/>
      <c r="L50" s="97"/>
      <c r="M50" s="94"/>
      <c r="N50" s="97"/>
      <c r="O50" s="94"/>
      <c r="P50" s="94"/>
      <c r="Q50" s="27"/>
      <c r="R50" s="94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94"/>
      <c r="AD50" s="96"/>
      <c r="AE50" s="96"/>
      <c r="AF50" s="96"/>
      <c r="AG50" s="96"/>
      <c r="AH50" s="27"/>
      <c r="AI50" s="27"/>
      <c r="AJ50" s="27"/>
      <c r="AK50" s="27"/>
      <c r="AL50" s="27"/>
      <c r="AM50" s="27"/>
      <c r="AN50" s="27"/>
    </row>
    <row r="51" spans="1:40" ht="12" customHeight="1" x14ac:dyDescent="0.25">
      <c r="A51" s="27"/>
      <c r="B51" s="94"/>
      <c r="C51" s="94"/>
      <c r="D51" s="95"/>
      <c r="E51" s="95"/>
      <c r="F51" s="94"/>
      <c r="G51" s="94"/>
      <c r="H51" s="27"/>
      <c r="I51" s="27"/>
      <c r="J51" s="27"/>
      <c r="K51" s="96"/>
      <c r="L51" s="97"/>
      <c r="M51" s="94"/>
      <c r="N51" s="97"/>
      <c r="O51" s="94"/>
      <c r="P51" s="94"/>
      <c r="Q51" s="27"/>
      <c r="R51" s="94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94"/>
      <c r="AD51" s="96"/>
      <c r="AE51" s="96"/>
      <c r="AF51" s="96"/>
      <c r="AG51" s="96"/>
      <c r="AH51" s="27"/>
      <c r="AI51" s="27"/>
      <c r="AJ51" s="27"/>
      <c r="AK51" s="27"/>
      <c r="AL51" s="27"/>
      <c r="AM51" s="27"/>
      <c r="AN51" s="27"/>
    </row>
    <row r="52" spans="1:40" ht="12" customHeight="1" x14ac:dyDescent="0.25">
      <c r="A52" s="27"/>
      <c r="B52" s="94"/>
      <c r="C52" s="94"/>
      <c r="D52" s="95"/>
      <c r="E52" s="95"/>
      <c r="F52" s="94"/>
      <c r="G52" s="94"/>
      <c r="H52" s="27"/>
      <c r="I52" s="27"/>
      <c r="J52" s="27"/>
      <c r="K52" s="96"/>
      <c r="L52" s="97"/>
      <c r="M52" s="94"/>
      <c r="N52" s="97"/>
      <c r="O52" s="94"/>
      <c r="P52" s="94"/>
      <c r="Q52" s="27"/>
      <c r="R52" s="94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94"/>
      <c r="AD52" s="96"/>
      <c r="AE52" s="96"/>
      <c r="AF52" s="96"/>
      <c r="AG52" s="96"/>
      <c r="AH52" s="27"/>
      <c r="AI52" s="27"/>
      <c r="AJ52" s="27"/>
      <c r="AK52" s="27"/>
      <c r="AL52" s="27"/>
      <c r="AM52" s="27"/>
      <c r="AN52" s="27"/>
    </row>
    <row r="53" spans="1:40" ht="12" customHeight="1" x14ac:dyDescent="0.25">
      <c r="A53" s="27"/>
      <c r="B53" s="94"/>
      <c r="C53" s="94"/>
      <c r="D53" s="95"/>
      <c r="E53" s="95"/>
      <c r="F53" s="94"/>
      <c r="G53" s="94"/>
      <c r="H53" s="27"/>
      <c r="I53" s="27"/>
      <c r="J53" s="27"/>
      <c r="K53" s="96"/>
      <c r="L53" s="97"/>
      <c r="M53" s="94"/>
      <c r="N53" s="97"/>
      <c r="O53" s="94"/>
      <c r="P53" s="94"/>
      <c r="Q53" s="27"/>
      <c r="R53" s="94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94"/>
      <c r="AD53" s="96"/>
      <c r="AE53" s="96"/>
      <c r="AF53" s="96"/>
      <c r="AG53" s="96"/>
      <c r="AH53" s="27"/>
      <c r="AI53" s="27"/>
      <c r="AJ53" s="27"/>
      <c r="AK53" s="27"/>
      <c r="AL53" s="27"/>
      <c r="AM53" s="27"/>
      <c r="AN53" s="27"/>
    </row>
    <row r="54" spans="1:40" ht="12" customHeight="1" x14ac:dyDescent="0.25">
      <c r="A54" s="27"/>
      <c r="B54" s="94"/>
      <c r="C54" s="94"/>
      <c r="D54" s="95"/>
      <c r="E54" s="95"/>
      <c r="F54" s="94"/>
      <c r="G54" s="94"/>
      <c r="H54" s="27"/>
      <c r="I54" s="27"/>
      <c r="J54" s="27"/>
      <c r="K54" s="96"/>
      <c r="L54" s="97"/>
      <c r="M54" s="94"/>
      <c r="N54" s="97"/>
      <c r="O54" s="94"/>
      <c r="P54" s="94"/>
      <c r="Q54" s="27"/>
      <c r="R54" s="94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94"/>
      <c r="AD54" s="96"/>
      <c r="AE54" s="96"/>
      <c r="AF54" s="96"/>
      <c r="AG54" s="96"/>
      <c r="AH54" s="27"/>
      <c r="AI54" s="27"/>
      <c r="AJ54" s="27"/>
      <c r="AK54" s="27"/>
      <c r="AL54" s="27"/>
      <c r="AM54" s="27"/>
      <c r="AN54" s="27"/>
    </row>
    <row r="55" spans="1:40" ht="12" customHeight="1" x14ac:dyDescent="0.25">
      <c r="A55" s="27"/>
      <c r="B55" s="94"/>
      <c r="C55" s="94"/>
      <c r="D55" s="95"/>
      <c r="E55" s="95"/>
      <c r="F55" s="94"/>
      <c r="G55" s="94"/>
      <c r="H55" s="27"/>
      <c r="I55" s="27"/>
      <c r="J55" s="27"/>
      <c r="K55" s="96"/>
      <c r="L55" s="97"/>
      <c r="M55" s="94"/>
      <c r="N55" s="97"/>
      <c r="O55" s="94"/>
      <c r="P55" s="94"/>
      <c r="Q55" s="27"/>
      <c r="R55" s="94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94"/>
      <c r="AD55" s="96"/>
      <c r="AE55" s="96"/>
      <c r="AF55" s="96"/>
      <c r="AG55" s="96"/>
      <c r="AH55" s="27"/>
      <c r="AI55" s="27"/>
      <c r="AJ55" s="27"/>
      <c r="AK55" s="27"/>
      <c r="AL55" s="27"/>
      <c r="AM55" s="27"/>
      <c r="AN55" s="27"/>
    </row>
    <row r="56" spans="1:40" ht="12" customHeight="1" x14ac:dyDescent="0.25">
      <c r="A56" s="27"/>
      <c r="B56" s="94"/>
      <c r="C56" s="94"/>
      <c r="D56" s="95"/>
      <c r="E56" s="95"/>
      <c r="F56" s="94"/>
      <c r="G56" s="94"/>
      <c r="H56" s="27"/>
      <c r="I56" s="27"/>
      <c r="J56" s="27"/>
      <c r="K56" s="96"/>
      <c r="L56" s="97"/>
      <c r="M56" s="94"/>
      <c r="N56" s="97"/>
      <c r="O56" s="94"/>
      <c r="P56" s="94"/>
      <c r="Q56" s="27"/>
      <c r="R56" s="94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94"/>
      <c r="AD56" s="96"/>
      <c r="AE56" s="96"/>
      <c r="AF56" s="96"/>
      <c r="AG56" s="96"/>
      <c r="AH56" s="27"/>
      <c r="AI56" s="27"/>
      <c r="AJ56" s="27"/>
      <c r="AK56" s="27"/>
      <c r="AL56" s="27"/>
      <c r="AM56" s="27"/>
      <c r="AN56" s="27"/>
    </row>
    <row r="57" spans="1:40" ht="12" customHeight="1" x14ac:dyDescent="0.25">
      <c r="A57" s="27"/>
      <c r="B57" s="94"/>
      <c r="C57" s="94"/>
      <c r="D57" s="95"/>
      <c r="E57" s="95"/>
      <c r="F57" s="94"/>
      <c r="G57" s="94"/>
      <c r="H57" s="27"/>
      <c r="I57" s="27"/>
      <c r="J57" s="27"/>
      <c r="K57" s="96"/>
      <c r="L57" s="97"/>
      <c r="M57" s="94"/>
      <c r="N57" s="97"/>
      <c r="O57" s="94"/>
      <c r="P57" s="94"/>
      <c r="Q57" s="27"/>
      <c r="R57" s="94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94"/>
      <c r="AD57" s="96"/>
      <c r="AE57" s="96"/>
      <c r="AF57" s="96"/>
      <c r="AG57" s="96"/>
      <c r="AH57" s="27"/>
      <c r="AI57" s="27"/>
      <c r="AJ57" s="27"/>
      <c r="AK57" s="27"/>
      <c r="AL57" s="27"/>
      <c r="AM57" s="27"/>
      <c r="AN57" s="27"/>
    </row>
    <row r="58" spans="1:40" ht="12" customHeight="1" x14ac:dyDescent="0.25">
      <c r="A58" s="27"/>
      <c r="B58" s="94"/>
      <c r="C58" s="94"/>
      <c r="D58" s="95"/>
      <c r="E58" s="95"/>
      <c r="F58" s="94"/>
      <c r="G58" s="94"/>
      <c r="H58" s="27"/>
      <c r="I58" s="27"/>
      <c r="J58" s="27"/>
      <c r="K58" s="96"/>
      <c r="L58" s="97"/>
      <c r="M58" s="94"/>
      <c r="N58" s="97"/>
      <c r="O58" s="94"/>
      <c r="P58" s="94"/>
      <c r="Q58" s="27"/>
      <c r="R58" s="94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94"/>
      <c r="AD58" s="96"/>
      <c r="AE58" s="96"/>
      <c r="AF58" s="96"/>
      <c r="AG58" s="96"/>
      <c r="AH58" s="27"/>
      <c r="AI58" s="27"/>
      <c r="AJ58" s="27"/>
      <c r="AK58" s="27"/>
      <c r="AL58" s="27"/>
      <c r="AM58" s="27"/>
      <c r="AN58" s="27"/>
    </row>
    <row r="59" spans="1:40" ht="12" customHeight="1" x14ac:dyDescent="0.25">
      <c r="A59" s="27"/>
      <c r="B59" s="94"/>
      <c r="C59" s="94"/>
      <c r="D59" s="95"/>
      <c r="E59" s="95"/>
      <c r="F59" s="94"/>
      <c r="G59" s="94"/>
      <c r="H59" s="27"/>
      <c r="I59" s="27"/>
      <c r="J59" s="27"/>
      <c r="K59" s="96"/>
      <c r="L59" s="97"/>
      <c r="M59" s="94"/>
      <c r="N59" s="97"/>
      <c r="O59" s="94"/>
      <c r="P59" s="94"/>
      <c r="Q59" s="27"/>
      <c r="R59" s="94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94"/>
      <c r="AD59" s="96"/>
      <c r="AE59" s="96"/>
      <c r="AF59" s="96"/>
      <c r="AG59" s="96"/>
      <c r="AH59" s="27"/>
      <c r="AI59" s="27"/>
      <c r="AJ59" s="27"/>
      <c r="AK59" s="27"/>
      <c r="AL59" s="27"/>
      <c r="AM59" s="27"/>
      <c r="AN59" s="27"/>
    </row>
    <row r="60" spans="1:40" ht="12" customHeight="1" x14ac:dyDescent="0.25">
      <c r="A60" s="27"/>
      <c r="B60" s="94"/>
      <c r="C60" s="94"/>
      <c r="D60" s="95"/>
      <c r="E60" s="95"/>
      <c r="F60" s="94"/>
      <c r="G60" s="94"/>
      <c r="H60" s="27"/>
      <c r="I60" s="27"/>
      <c r="J60" s="27"/>
      <c r="K60" s="96"/>
      <c r="L60" s="97"/>
      <c r="M60" s="94"/>
      <c r="N60" s="97"/>
      <c r="O60" s="94"/>
      <c r="P60" s="94"/>
      <c r="Q60" s="27"/>
      <c r="R60" s="94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94"/>
      <c r="AD60" s="96"/>
      <c r="AE60" s="96"/>
      <c r="AF60" s="96"/>
      <c r="AG60" s="96"/>
      <c r="AH60" s="27"/>
      <c r="AI60" s="27"/>
      <c r="AJ60" s="27"/>
      <c r="AK60" s="27"/>
      <c r="AL60" s="27"/>
      <c r="AM60" s="27"/>
      <c r="AN60" s="27"/>
    </row>
    <row r="61" spans="1:40" ht="12" customHeight="1" x14ac:dyDescent="0.25">
      <c r="A61" s="27"/>
      <c r="B61" s="94"/>
      <c r="C61" s="94"/>
      <c r="D61" s="95"/>
      <c r="E61" s="95"/>
      <c r="F61" s="94"/>
      <c r="G61" s="94"/>
      <c r="H61" s="27"/>
      <c r="I61" s="27"/>
      <c r="J61" s="27"/>
      <c r="K61" s="96"/>
      <c r="L61" s="97"/>
      <c r="M61" s="94"/>
      <c r="N61" s="97"/>
      <c r="O61" s="94"/>
      <c r="P61" s="94"/>
      <c r="Q61" s="27"/>
      <c r="R61" s="94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94"/>
      <c r="AD61" s="96"/>
      <c r="AE61" s="96"/>
      <c r="AF61" s="96"/>
      <c r="AG61" s="96"/>
      <c r="AH61" s="27"/>
      <c r="AI61" s="27"/>
      <c r="AJ61" s="27"/>
      <c r="AK61" s="27"/>
      <c r="AL61" s="27"/>
      <c r="AM61" s="27"/>
      <c r="AN61" s="27"/>
    </row>
    <row r="62" spans="1:40" ht="12" customHeight="1" x14ac:dyDescent="0.25">
      <c r="A62" s="27"/>
      <c r="B62" s="94"/>
      <c r="C62" s="94"/>
      <c r="D62" s="95"/>
      <c r="E62" s="95"/>
      <c r="F62" s="94"/>
      <c r="G62" s="94"/>
      <c r="H62" s="27"/>
      <c r="I62" s="27"/>
      <c r="J62" s="27"/>
      <c r="K62" s="96"/>
      <c r="L62" s="97"/>
      <c r="M62" s="94"/>
      <c r="N62" s="97"/>
      <c r="O62" s="94"/>
      <c r="P62" s="94"/>
      <c r="Q62" s="27"/>
      <c r="R62" s="94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94"/>
      <c r="AD62" s="96"/>
      <c r="AE62" s="96"/>
      <c r="AF62" s="96"/>
      <c r="AG62" s="96"/>
      <c r="AH62" s="27"/>
      <c r="AI62" s="27"/>
      <c r="AJ62" s="27"/>
      <c r="AK62" s="27"/>
      <c r="AL62" s="27"/>
      <c r="AM62" s="27"/>
      <c r="AN62" s="27"/>
    </row>
    <row r="63" spans="1:40" ht="12" customHeight="1" x14ac:dyDescent="0.25">
      <c r="A63" s="27"/>
      <c r="B63" s="94"/>
      <c r="C63" s="94"/>
      <c r="D63" s="95"/>
      <c r="E63" s="95"/>
      <c r="F63" s="94"/>
      <c r="G63" s="94"/>
      <c r="H63" s="27"/>
      <c r="I63" s="27"/>
      <c r="J63" s="27"/>
      <c r="K63" s="96"/>
      <c r="L63" s="97"/>
      <c r="M63" s="94"/>
      <c r="N63" s="97"/>
      <c r="O63" s="94"/>
      <c r="P63" s="94"/>
      <c r="Q63" s="27"/>
      <c r="R63" s="94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94"/>
      <c r="AD63" s="96"/>
      <c r="AE63" s="96"/>
      <c r="AF63" s="96"/>
      <c r="AG63" s="96"/>
      <c r="AH63" s="27"/>
      <c r="AI63" s="27"/>
      <c r="AJ63" s="27"/>
      <c r="AK63" s="27"/>
      <c r="AL63" s="27"/>
      <c r="AM63" s="27"/>
      <c r="AN63" s="27"/>
    </row>
    <row r="64" spans="1:40" ht="12" customHeight="1" x14ac:dyDescent="0.25">
      <c r="A64" s="27"/>
      <c r="B64" s="94"/>
      <c r="C64" s="94"/>
      <c r="D64" s="95"/>
      <c r="E64" s="95"/>
      <c r="F64" s="94"/>
      <c r="G64" s="94"/>
      <c r="H64" s="27"/>
      <c r="I64" s="27"/>
      <c r="J64" s="27"/>
      <c r="K64" s="96"/>
      <c r="L64" s="97"/>
      <c r="M64" s="94"/>
      <c r="N64" s="97"/>
      <c r="O64" s="94"/>
      <c r="P64" s="94"/>
      <c r="Q64" s="27"/>
      <c r="R64" s="94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94"/>
      <c r="AD64" s="96"/>
      <c r="AE64" s="96"/>
      <c r="AF64" s="96"/>
      <c r="AG64" s="96"/>
      <c r="AH64" s="27"/>
      <c r="AI64" s="27"/>
      <c r="AJ64" s="27"/>
      <c r="AK64" s="27"/>
      <c r="AL64" s="27"/>
      <c r="AM64" s="27"/>
      <c r="AN64" s="27"/>
    </row>
    <row r="65" spans="1:40" ht="12" customHeight="1" x14ac:dyDescent="0.25">
      <c r="A65" s="27"/>
      <c r="B65" s="94"/>
      <c r="C65" s="94"/>
      <c r="D65" s="95"/>
      <c r="E65" s="95"/>
      <c r="F65" s="94"/>
      <c r="G65" s="94"/>
      <c r="H65" s="27"/>
      <c r="I65" s="27"/>
      <c r="J65" s="27"/>
      <c r="K65" s="96"/>
      <c r="L65" s="97"/>
      <c r="M65" s="94"/>
      <c r="N65" s="97"/>
      <c r="O65" s="94"/>
      <c r="P65" s="94"/>
      <c r="Q65" s="27"/>
      <c r="R65" s="94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94"/>
      <c r="AD65" s="96"/>
      <c r="AE65" s="96"/>
      <c r="AF65" s="96"/>
      <c r="AG65" s="96"/>
      <c r="AH65" s="27"/>
      <c r="AI65" s="27"/>
      <c r="AJ65" s="27"/>
      <c r="AK65" s="27"/>
      <c r="AL65" s="27"/>
      <c r="AM65" s="27"/>
      <c r="AN65" s="27"/>
    </row>
    <row r="66" spans="1:40" ht="12" customHeight="1" x14ac:dyDescent="0.25">
      <c r="A66" s="27"/>
      <c r="B66" s="94"/>
      <c r="C66" s="94"/>
      <c r="D66" s="95"/>
      <c r="E66" s="95"/>
      <c r="F66" s="94"/>
      <c r="G66" s="94"/>
      <c r="H66" s="27"/>
      <c r="I66" s="27"/>
      <c r="J66" s="27"/>
      <c r="K66" s="96"/>
      <c r="L66" s="97"/>
      <c r="M66" s="94"/>
      <c r="N66" s="97"/>
      <c r="O66" s="94"/>
      <c r="P66" s="94"/>
      <c r="Q66" s="27"/>
      <c r="R66" s="94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94"/>
      <c r="AD66" s="96"/>
      <c r="AE66" s="96"/>
      <c r="AF66" s="96"/>
      <c r="AG66" s="96"/>
      <c r="AH66" s="27"/>
      <c r="AI66" s="27"/>
      <c r="AJ66" s="27"/>
      <c r="AK66" s="27"/>
      <c r="AL66" s="27"/>
      <c r="AM66" s="27"/>
      <c r="AN66" s="27"/>
    </row>
    <row r="67" spans="1:40" ht="12" customHeight="1" x14ac:dyDescent="0.25">
      <c r="A67" s="27"/>
      <c r="B67" s="94"/>
      <c r="C67" s="94"/>
      <c r="D67" s="95"/>
      <c r="E67" s="95"/>
      <c r="F67" s="94"/>
      <c r="G67" s="94"/>
      <c r="H67" s="27"/>
      <c r="I67" s="27"/>
      <c r="J67" s="27"/>
      <c r="K67" s="96"/>
      <c r="L67" s="97"/>
      <c r="M67" s="94"/>
      <c r="N67" s="97"/>
      <c r="O67" s="94"/>
      <c r="P67" s="94"/>
      <c r="Q67" s="27"/>
      <c r="R67" s="94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94"/>
      <c r="AD67" s="96"/>
      <c r="AE67" s="96"/>
      <c r="AF67" s="96"/>
      <c r="AG67" s="96"/>
      <c r="AH67" s="27"/>
      <c r="AI67" s="27"/>
      <c r="AJ67" s="27"/>
      <c r="AK67" s="27"/>
      <c r="AL67" s="27"/>
      <c r="AM67" s="27"/>
      <c r="AN67" s="27"/>
    </row>
    <row r="68" spans="1:40" ht="12" customHeight="1" x14ac:dyDescent="0.25">
      <c r="A68" s="27"/>
      <c r="B68" s="94"/>
      <c r="C68" s="94"/>
      <c r="D68" s="95"/>
      <c r="E68" s="95"/>
      <c r="F68" s="94"/>
      <c r="G68" s="94"/>
      <c r="H68" s="27"/>
      <c r="I68" s="27"/>
      <c r="J68" s="27"/>
      <c r="K68" s="96"/>
      <c r="L68" s="97"/>
      <c r="M68" s="94"/>
      <c r="N68" s="97"/>
      <c r="O68" s="94"/>
      <c r="P68" s="94"/>
      <c r="Q68" s="27"/>
      <c r="R68" s="94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94"/>
      <c r="AD68" s="96"/>
      <c r="AE68" s="96"/>
      <c r="AF68" s="96"/>
      <c r="AG68" s="96"/>
      <c r="AH68" s="27"/>
      <c r="AI68" s="27"/>
      <c r="AJ68" s="27"/>
      <c r="AK68" s="27"/>
      <c r="AL68" s="27"/>
      <c r="AM68" s="27"/>
      <c r="AN68" s="27"/>
    </row>
    <row r="69" spans="1:40" ht="12" customHeight="1" x14ac:dyDescent="0.25">
      <c r="A69" s="27"/>
      <c r="B69" s="94"/>
      <c r="C69" s="94"/>
      <c r="D69" s="95"/>
      <c r="E69" s="95"/>
      <c r="F69" s="94"/>
      <c r="G69" s="94"/>
      <c r="H69" s="27"/>
      <c r="I69" s="27"/>
      <c r="J69" s="27"/>
      <c r="K69" s="96"/>
      <c r="L69" s="97"/>
      <c r="M69" s="94"/>
      <c r="N69" s="97"/>
      <c r="O69" s="94"/>
      <c r="P69" s="94"/>
      <c r="Q69" s="27"/>
      <c r="R69" s="94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94"/>
      <c r="AD69" s="96"/>
      <c r="AE69" s="96"/>
      <c r="AF69" s="96"/>
      <c r="AG69" s="96"/>
      <c r="AH69" s="27"/>
      <c r="AI69" s="27"/>
      <c r="AJ69" s="27"/>
      <c r="AK69" s="27"/>
      <c r="AL69" s="27"/>
      <c r="AM69" s="27"/>
      <c r="AN69" s="27"/>
    </row>
    <row r="70" spans="1:40" ht="12" customHeight="1" x14ac:dyDescent="0.25">
      <c r="A70" s="27"/>
      <c r="B70" s="94"/>
      <c r="C70" s="94"/>
      <c r="D70" s="95"/>
      <c r="E70" s="95"/>
      <c r="F70" s="94"/>
      <c r="G70" s="94"/>
      <c r="H70" s="27"/>
      <c r="I70" s="27"/>
      <c r="J70" s="27"/>
      <c r="K70" s="96"/>
      <c r="L70" s="97"/>
      <c r="M70" s="94"/>
      <c r="N70" s="97"/>
      <c r="O70" s="94"/>
      <c r="P70" s="94"/>
      <c r="Q70" s="27"/>
      <c r="R70" s="94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94"/>
      <c r="AD70" s="96"/>
      <c r="AE70" s="96"/>
      <c r="AF70" s="96"/>
      <c r="AG70" s="96"/>
      <c r="AH70" s="27"/>
      <c r="AI70" s="27"/>
      <c r="AJ70" s="27"/>
      <c r="AK70" s="27"/>
      <c r="AL70" s="27"/>
      <c r="AM70" s="27"/>
      <c r="AN70" s="27"/>
    </row>
    <row r="71" spans="1:40" ht="12" customHeight="1" x14ac:dyDescent="0.25">
      <c r="A71" s="27"/>
      <c r="B71" s="94"/>
      <c r="C71" s="94"/>
      <c r="D71" s="95"/>
      <c r="E71" s="95"/>
      <c r="F71" s="94"/>
      <c r="G71" s="94"/>
      <c r="H71" s="27"/>
      <c r="I71" s="27"/>
      <c r="J71" s="27"/>
      <c r="K71" s="96"/>
      <c r="L71" s="97"/>
      <c r="M71" s="94"/>
      <c r="N71" s="97"/>
      <c r="O71" s="94"/>
      <c r="P71" s="94"/>
      <c r="Q71" s="27"/>
      <c r="R71" s="94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94"/>
      <c r="AD71" s="96"/>
      <c r="AE71" s="96"/>
      <c r="AF71" s="96"/>
      <c r="AG71" s="96"/>
      <c r="AH71" s="27"/>
      <c r="AI71" s="27"/>
      <c r="AJ71" s="27"/>
      <c r="AK71" s="27"/>
      <c r="AL71" s="27"/>
      <c r="AM71" s="27"/>
      <c r="AN71" s="27"/>
    </row>
    <row r="72" spans="1:40" ht="12" customHeight="1" x14ac:dyDescent="0.25">
      <c r="A72" s="27"/>
      <c r="B72" s="94"/>
      <c r="C72" s="94"/>
      <c r="D72" s="95"/>
      <c r="E72" s="95"/>
      <c r="F72" s="94"/>
      <c r="G72" s="94"/>
      <c r="H72" s="27"/>
      <c r="I72" s="27"/>
      <c r="J72" s="27"/>
      <c r="K72" s="96"/>
      <c r="L72" s="97"/>
      <c r="M72" s="94"/>
      <c r="N72" s="97"/>
      <c r="O72" s="94"/>
      <c r="P72" s="94"/>
      <c r="Q72" s="27"/>
      <c r="R72" s="94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94"/>
      <c r="AD72" s="96"/>
      <c r="AE72" s="96"/>
      <c r="AF72" s="96"/>
      <c r="AG72" s="96"/>
      <c r="AH72" s="27"/>
      <c r="AI72" s="27"/>
      <c r="AJ72" s="27"/>
      <c r="AK72" s="27"/>
      <c r="AL72" s="27"/>
      <c r="AM72" s="27"/>
      <c r="AN72" s="27"/>
    </row>
    <row r="73" spans="1:40" ht="12" customHeight="1" x14ac:dyDescent="0.25">
      <c r="A73" s="27"/>
      <c r="B73" s="94"/>
      <c r="C73" s="94"/>
      <c r="D73" s="95"/>
      <c r="E73" s="95"/>
      <c r="F73" s="94"/>
      <c r="G73" s="94"/>
      <c r="H73" s="27"/>
      <c r="I73" s="27"/>
      <c r="J73" s="27"/>
      <c r="K73" s="96"/>
      <c r="L73" s="97"/>
      <c r="M73" s="94"/>
      <c r="N73" s="97"/>
      <c r="O73" s="94"/>
      <c r="P73" s="94"/>
      <c r="Q73" s="27"/>
      <c r="R73" s="94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94"/>
      <c r="AD73" s="96"/>
      <c r="AE73" s="96"/>
      <c r="AF73" s="96"/>
      <c r="AG73" s="96"/>
      <c r="AH73" s="27"/>
      <c r="AI73" s="27"/>
      <c r="AJ73" s="27"/>
      <c r="AK73" s="27"/>
      <c r="AL73" s="27"/>
      <c r="AM73" s="27"/>
      <c r="AN73" s="27"/>
    </row>
    <row r="74" spans="1:40" ht="12" customHeight="1" x14ac:dyDescent="0.25">
      <c r="A74" s="27"/>
      <c r="B74" s="94"/>
      <c r="C74" s="94"/>
      <c r="D74" s="95"/>
      <c r="E74" s="95"/>
      <c r="F74" s="94"/>
      <c r="G74" s="94"/>
      <c r="H74" s="27"/>
      <c r="I74" s="27"/>
      <c r="J74" s="27"/>
      <c r="K74" s="96"/>
      <c r="L74" s="97"/>
      <c r="M74" s="94"/>
      <c r="N74" s="97"/>
      <c r="O74" s="94"/>
      <c r="P74" s="94"/>
      <c r="Q74" s="27"/>
      <c r="R74" s="94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94"/>
      <c r="AD74" s="96"/>
      <c r="AE74" s="96"/>
      <c r="AF74" s="96"/>
      <c r="AG74" s="96"/>
      <c r="AH74" s="27"/>
      <c r="AI74" s="27"/>
      <c r="AJ74" s="27"/>
      <c r="AK74" s="27"/>
      <c r="AL74" s="27"/>
      <c r="AM74" s="27"/>
      <c r="AN74" s="27"/>
    </row>
    <row r="75" spans="1:40" ht="12" customHeight="1" x14ac:dyDescent="0.25">
      <c r="A75" s="27"/>
      <c r="B75" s="94"/>
      <c r="C75" s="94"/>
      <c r="D75" s="95"/>
      <c r="E75" s="95"/>
      <c r="F75" s="94"/>
      <c r="G75" s="94"/>
      <c r="H75" s="27"/>
      <c r="I75" s="27"/>
      <c r="J75" s="27"/>
      <c r="K75" s="96"/>
      <c r="L75" s="97"/>
      <c r="M75" s="94"/>
      <c r="N75" s="97"/>
      <c r="O75" s="94"/>
      <c r="P75" s="94"/>
      <c r="Q75" s="27"/>
      <c r="R75" s="94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94"/>
      <c r="AD75" s="96"/>
      <c r="AE75" s="96"/>
      <c r="AF75" s="96"/>
      <c r="AG75" s="96"/>
      <c r="AH75" s="27"/>
      <c r="AI75" s="27"/>
      <c r="AJ75" s="27"/>
      <c r="AK75" s="27"/>
      <c r="AL75" s="27"/>
      <c r="AM75" s="27"/>
      <c r="AN75" s="27"/>
    </row>
    <row r="76" spans="1:40" ht="12" customHeight="1" x14ac:dyDescent="0.25">
      <c r="A76" s="27"/>
      <c r="B76" s="94"/>
      <c r="C76" s="94"/>
      <c r="D76" s="95"/>
      <c r="E76" s="95"/>
      <c r="F76" s="94"/>
      <c r="G76" s="94"/>
      <c r="H76" s="27"/>
      <c r="I76" s="27"/>
      <c r="J76" s="27"/>
      <c r="K76" s="96"/>
      <c r="L76" s="97"/>
      <c r="M76" s="94"/>
      <c r="N76" s="97"/>
      <c r="O76" s="94"/>
      <c r="P76" s="94"/>
      <c r="Q76" s="27"/>
      <c r="R76" s="94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94"/>
      <c r="AD76" s="96"/>
      <c r="AE76" s="96"/>
      <c r="AF76" s="96"/>
      <c r="AG76" s="96"/>
      <c r="AH76" s="27"/>
      <c r="AI76" s="27"/>
      <c r="AJ76" s="27"/>
      <c r="AK76" s="27"/>
      <c r="AL76" s="27"/>
      <c r="AM76" s="27"/>
      <c r="AN76" s="27"/>
    </row>
    <row r="77" spans="1:40" ht="12" customHeight="1" x14ac:dyDescent="0.25">
      <c r="A77" s="27"/>
      <c r="B77" s="94"/>
      <c r="C77" s="94"/>
      <c r="D77" s="95"/>
      <c r="E77" s="95"/>
      <c r="F77" s="94"/>
      <c r="G77" s="94"/>
      <c r="H77" s="27"/>
      <c r="I77" s="27"/>
      <c r="J77" s="27"/>
      <c r="K77" s="96"/>
      <c r="L77" s="97"/>
      <c r="M77" s="94"/>
      <c r="N77" s="97"/>
      <c r="O77" s="94"/>
      <c r="P77" s="94"/>
      <c r="Q77" s="27"/>
      <c r="R77" s="94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94"/>
      <c r="AD77" s="96"/>
      <c r="AE77" s="96"/>
      <c r="AF77" s="96"/>
      <c r="AG77" s="96"/>
      <c r="AH77" s="27"/>
      <c r="AI77" s="27"/>
      <c r="AJ77" s="27"/>
      <c r="AK77" s="27"/>
      <c r="AL77" s="27"/>
      <c r="AM77" s="27"/>
      <c r="AN77" s="27"/>
    </row>
    <row r="78" spans="1:40" ht="12" customHeight="1" x14ac:dyDescent="0.25">
      <c r="A78" s="27"/>
      <c r="B78" s="94"/>
      <c r="C78" s="94"/>
      <c r="D78" s="95"/>
      <c r="E78" s="95"/>
      <c r="F78" s="94"/>
      <c r="G78" s="94"/>
      <c r="H78" s="27"/>
      <c r="I78" s="27"/>
      <c r="J78" s="27"/>
      <c r="K78" s="96"/>
      <c r="L78" s="97"/>
      <c r="M78" s="94"/>
      <c r="N78" s="97"/>
      <c r="O78" s="94"/>
      <c r="P78" s="94"/>
      <c r="Q78" s="27"/>
      <c r="R78" s="94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94"/>
      <c r="AD78" s="96"/>
      <c r="AE78" s="96"/>
      <c r="AF78" s="96"/>
      <c r="AG78" s="96"/>
      <c r="AH78" s="27"/>
      <c r="AI78" s="27"/>
      <c r="AJ78" s="27"/>
      <c r="AK78" s="27"/>
      <c r="AL78" s="27"/>
      <c r="AM78" s="27"/>
      <c r="AN78" s="27"/>
    </row>
    <row r="79" spans="1:40" ht="12" customHeight="1" x14ac:dyDescent="0.25">
      <c r="A79" s="27"/>
      <c r="B79" s="94"/>
      <c r="C79" s="94"/>
      <c r="D79" s="95"/>
      <c r="E79" s="95"/>
      <c r="F79" s="94"/>
      <c r="G79" s="94"/>
      <c r="H79" s="27"/>
      <c r="I79" s="27"/>
      <c r="J79" s="27"/>
      <c r="K79" s="96"/>
      <c r="L79" s="97"/>
      <c r="M79" s="94"/>
      <c r="N79" s="97"/>
      <c r="O79" s="94"/>
      <c r="P79" s="94"/>
      <c r="Q79" s="27"/>
      <c r="R79" s="94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94"/>
      <c r="AD79" s="96"/>
      <c r="AE79" s="96"/>
      <c r="AF79" s="96"/>
      <c r="AG79" s="96"/>
      <c r="AH79" s="27"/>
      <c r="AI79" s="27"/>
      <c r="AJ79" s="27"/>
      <c r="AK79" s="27"/>
      <c r="AL79" s="27"/>
      <c r="AM79" s="27"/>
      <c r="AN79" s="27"/>
    </row>
    <row r="80" spans="1:40" ht="12" customHeight="1" x14ac:dyDescent="0.25">
      <c r="A80" s="27"/>
      <c r="B80" s="94"/>
      <c r="C80" s="94"/>
      <c r="D80" s="95"/>
      <c r="E80" s="95"/>
      <c r="F80" s="94"/>
      <c r="G80" s="94"/>
      <c r="H80" s="27"/>
      <c r="I80" s="27"/>
      <c r="J80" s="27"/>
      <c r="K80" s="96"/>
      <c r="L80" s="97"/>
      <c r="M80" s="94"/>
      <c r="N80" s="97"/>
      <c r="O80" s="94"/>
      <c r="P80" s="94"/>
      <c r="Q80" s="27"/>
      <c r="R80" s="94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94"/>
      <c r="AD80" s="96"/>
      <c r="AE80" s="96"/>
      <c r="AF80" s="96"/>
      <c r="AG80" s="96"/>
      <c r="AH80" s="27"/>
      <c r="AI80" s="27"/>
      <c r="AJ80" s="27"/>
      <c r="AK80" s="27"/>
      <c r="AL80" s="27"/>
      <c r="AM80" s="27"/>
      <c r="AN80" s="27"/>
    </row>
    <row r="81" spans="1:40" ht="12" customHeight="1" x14ac:dyDescent="0.25">
      <c r="A81" s="27"/>
      <c r="B81" s="94"/>
      <c r="C81" s="94"/>
      <c r="D81" s="95"/>
      <c r="E81" s="95"/>
      <c r="F81" s="94"/>
      <c r="G81" s="94"/>
      <c r="H81" s="27"/>
      <c r="I81" s="27"/>
      <c r="J81" s="27"/>
      <c r="K81" s="96"/>
      <c r="L81" s="97"/>
      <c r="M81" s="94"/>
      <c r="N81" s="97"/>
      <c r="O81" s="94"/>
      <c r="P81" s="94"/>
      <c r="Q81" s="27"/>
      <c r="R81" s="94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94"/>
      <c r="AD81" s="96"/>
      <c r="AE81" s="96"/>
      <c r="AF81" s="96"/>
      <c r="AG81" s="96"/>
      <c r="AH81" s="27"/>
      <c r="AI81" s="27"/>
      <c r="AJ81" s="27"/>
      <c r="AK81" s="27"/>
      <c r="AL81" s="27"/>
      <c r="AM81" s="27"/>
      <c r="AN81" s="27"/>
    </row>
    <row r="82" spans="1:40" ht="12" customHeight="1" x14ac:dyDescent="0.25">
      <c r="A82" s="27"/>
      <c r="B82" s="94"/>
      <c r="C82" s="94"/>
      <c r="D82" s="95"/>
      <c r="E82" s="95"/>
      <c r="F82" s="94"/>
      <c r="G82" s="94"/>
      <c r="H82" s="27"/>
      <c r="I82" s="27"/>
      <c r="J82" s="27"/>
      <c r="K82" s="96"/>
      <c r="L82" s="97"/>
      <c r="M82" s="94"/>
      <c r="N82" s="97"/>
      <c r="O82" s="94"/>
      <c r="P82" s="94"/>
      <c r="Q82" s="27"/>
      <c r="R82" s="94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94"/>
      <c r="AD82" s="96"/>
      <c r="AE82" s="96"/>
      <c r="AF82" s="96"/>
      <c r="AG82" s="96"/>
      <c r="AH82" s="27"/>
      <c r="AI82" s="27"/>
      <c r="AJ82" s="27"/>
      <c r="AK82" s="27"/>
      <c r="AL82" s="27"/>
      <c r="AM82" s="27"/>
      <c r="AN82" s="27"/>
    </row>
    <row r="83" spans="1:40" ht="12" customHeight="1" x14ac:dyDescent="0.25">
      <c r="A83" s="27"/>
      <c r="B83" s="94"/>
      <c r="C83" s="94"/>
      <c r="D83" s="95"/>
      <c r="E83" s="95"/>
      <c r="F83" s="94"/>
      <c r="G83" s="94"/>
      <c r="H83" s="27"/>
      <c r="I83" s="27"/>
      <c r="J83" s="27"/>
      <c r="K83" s="96"/>
      <c r="L83" s="97"/>
      <c r="M83" s="94"/>
      <c r="N83" s="97"/>
      <c r="O83" s="94"/>
      <c r="P83" s="94"/>
      <c r="Q83" s="27"/>
      <c r="R83" s="94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94"/>
      <c r="AD83" s="96"/>
      <c r="AE83" s="96"/>
      <c r="AF83" s="96"/>
      <c r="AG83" s="96"/>
      <c r="AH83" s="27"/>
      <c r="AI83" s="27"/>
      <c r="AJ83" s="27"/>
      <c r="AK83" s="27"/>
      <c r="AL83" s="27"/>
      <c r="AM83" s="27"/>
      <c r="AN83" s="27"/>
    </row>
    <row r="84" spans="1:40" ht="12" customHeight="1" x14ac:dyDescent="0.25">
      <c r="A84" s="27"/>
      <c r="B84" s="94"/>
      <c r="C84" s="94"/>
      <c r="D84" s="95"/>
      <c r="E84" s="95"/>
      <c r="F84" s="94"/>
      <c r="G84" s="94"/>
      <c r="H84" s="27"/>
      <c r="I84" s="27"/>
      <c r="J84" s="27"/>
      <c r="K84" s="96"/>
      <c r="L84" s="97"/>
      <c r="M84" s="94"/>
      <c r="N84" s="97"/>
      <c r="O84" s="94"/>
      <c r="P84" s="94"/>
      <c r="Q84" s="27"/>
      <c r="R84" s="94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94"/>
      <c r="AD84" s="96"/>
      <c r="AE84" s="96"/>
      <c r="AF84" s="96"/>
      <c r="AG84" s="96"/>
      <c r="AH84" s="27"/>
      <c r="AI84" s="27"/>
      <c r="AJ84" s="27"/>
      <c r="AK84" s="27"/>
      <c r="AL84" s="27"/>
      <c r="AM84" s="27"/>
      <c r="AN84" s="27"/>
    </row>
    <row r="85" spans="1:40" ht="12" customHeight="1" x14ac:dyDescent="0.25">
      <c r="A85" s="27"/>
      <c r="B85" s="94"/>
      <c r="C85" s="94"/>
      <c r="D85" s="95"/>
      <c r="E85" s="95"/>
      <c r="F85" s="94"/>
      <c r="G85" s="94"/>
      <c r="H85" s="27"/>
      <c r="I85" s="27"/>
      <c r="J85" s="27"/>
      <c r="K85" s="96"/>
      <c r="L85" s="97"/>
      <c r="M85" s="94"/>
      <c r="N85" s="97"/>
      <c r="O85" s="94"/>
      <c r="P85" s="94"/>
      <c r="Q85" s="27"/>
      <c r="R85" s="94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94"/>
      <c r="AD85" s="96"/>
      <c r="AE85" s="96"/>
      <c r="AF85" s="96"/>
      <c r="AG85" s="96"/>
      <c r="AH85" s="27"/>
      <c r="AI85" s="27"/>
      <c r="AJ85" s="27"/>
      <c r="AK85" s="27"/>
      <c r="AL85" s="27"/>
      <c r="AM85" s="27"/>
      <c r="AN85" s="27"/>
    </row>
    <row r="86" spans="1:40" ht="12" customHeight="1" x14ac:dyDescent="0.25">
      <c r="A86" s="27"/>
      <c r="B86" s="94"/>
      <c r="C86" s="94"/>
      <c r="D86" s="95"/>
      <c r="E86" s="95"/>
      <c r="F86" s="94"/>
      <c r="G86" s="94"/>
      <c r="H86" s="27"/>
      <c r="I86" s="27"/>
      <c r="J86" s="27"/>
      <c r="K86" s="96"/>
      <c r="L86" s="97"/>
      <c r="M86" s="94"/>
      <c r="N86" s="97"/>
      <c r="O86" s="94"/>
      <c r="P86" s="94"/>
      <c r="Q86" s="27"/>
      <c r="R86" s="94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94"/>
      <c r="AD86" s="96"/>
      <c r="AE86" s="96"/>
      <c r="AF86" s="96"/>
      <c r="AG86" s="96"/>
      <c r="AH86" s="27"/>
      <c r="AI86" s="27"/>
      <c r="AJ86" s="27"/>
      <c r="AK86" s="27"/>
      <c r="AL86" s="27"/>
      <c r="AM86" s="27"/>
      <c r="AN86" s="27"/>
    </row>
    <row r="87" spans="1:40" ht="12" customHeight="1" x14ac:dyDescent="0.25">
      <c r="A87" s="27"/>
      <c r="B87" s="94"/>
      <c r="C87" s="94"/>
      <c r="D87" s="95"/>
      <c r="E87" s="95"/>
      <c r="F87" s="94"/>
      <c r="G87" s="94"/>
      <c r="H87" s="27"/>
      <c r="I87" s="27"/>
      <c r="J87" s="27"/>
      <c r="K87" s="96"/>
      <c r="L87" s="97"/>
      <c r="M87" s="94"/>
      <c r="N87" s="97"/>
      <c r="O87" s="94"/>
      <c r="P87" s="94"/>
      <c r="Q87" s="27"/>
      <c r="R87" s="94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94"/>
      <c r="AD87" s="96"/>
      <c r="AE87" s="96"/>
      <c r="AF87" s="96"/>
      <c r="AG87" s="96"/>
      <c r="AH87" s="27"/>
      <c r="AI87" s="27"/>
      <c r="AJ87" s="27"/>
      <c r="AK87" s="27"/>
      <c r="AL87" s="27"/>
      <c r="AM87" s="27"/>
      <c r="AN87" s="27"/>
    </row>
    <row r="88" spans="1:40" ht="12" customHeight="1" x14ac:dyDescent="0.25">
      <c r="A88" s="27"/>
      <c r="B88" s="94"/>
      <c r="C88" s="94"/>
      <c r="D88" s="95"/>
      <c r="E88" s="95"/>
      <c r="F88" s="94"/>
      <c r="G88" s="94"/>
      <c r="H88" s="27"/>
      <c r="I88" s="27"/>
      <c r="J88" s="27"/>
      <c r="K88" s="96"/>
      <c r="L88" s="97"/>
      <c r="M88" s="94"/>
      <c r="N88" s="97"/>
      <c r="O88" s="94"/>
      <c r="P88" s="94"/>
      <c r="Q88" s="27"/>
      <c r="R88" s="94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94"/>
      <c r="AD88" s="96"/>
      <c r="AE88" s="96"/>
      <c r="AF88" s="96"/>
      <c r="AG88" s="96"/>
      <c r="AH88" s="27"/>
      <c r="AI88" s="27"/>
      <c r="AJ88" s="27"/>
      <c r="AK88" s="27"/>
      <c r="AL88" s="27"/>
      <c r="AM88" s="27"/>
      <c r="AN88" s="27"/>
    </row>
    <row r="89" spans="1:40" ht="12" customHeight="1" x14ac:dyDescent="0.25">
      <c r="A89" s="27"/>
      <c r="B89" s="94"/>
      <c r="C89" s="94"/>
      <c r="D89" s="95"/>
      <c r="E89" s="95"/>
      <c r="F89" s="94"/>
      <c r="G89" s="94"/>
      <c r="H89" s="27"/>
      <c r="I89" s="27"/>
      <c r="J89" s="27"/>
      <c r="K89" s="96"/>
      <c r="L89" s="97"/>
      <c r="M89" s="94"/>
      <c r="N89" s="97"/>
      <c r="O89" s="94"/>
      <c r="P89" s="94"/>
      <c r="Q89" s="27"/>
      <c r="R89" s="94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94"/>
      <c r="AD89" s="96"/>
      <c r="AE89" s="96"/>
      <c r="AF89" s="96"/>
      <c r="AG89" s="96"/>
      <c r="AH89" s="27"/>
      <c r="AI89" s="27"/>
      <c r="AJ89" s="27"/>
      <c r="AK89" s="27"/>
      <c r="AL89" s="27"/>
      <c r="AM89" s="27"/>
      <c r="AN89" s="27"/>
    </row>
    <row r="90" spans="1:40" ht="12" customHeight="1" x14ac:dyDescent="0.25">
      <c r="A90" s="27"/>
      <c r="B90" s="94"/>
      <c r="C90" s="94"/>
      <c r="D90" s="95"/>
      <c r="E90" s="95"/>
      <c r="F90" s="94"/>
      <c r="G90" s="94"/>
      <c r="H90" s="27"/>
      <c r="I90" s="27"/>
      <c r="J90" s="27"/>
      <c r="K90" s="96"/>
      <c r="L90" s="97"/>
      <c r="M90" s="94"/>
      <c r="N90" s="97"/>
      <c r="O90" s="94"/>
      <c r="P90" s="94"/>
      <c r="Q90" s="27"/>
      <c r="R90" s="94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94"/>
      <c r="AD90" s="96"/>
      <c r="AE90" s="96"/>
      <c r="AF90" s="96"/>
      <c r="AG90" s="96"/>
      <c r="AH90" s="27"/>
      <c r="AI90" s="27"/>
      <c r="AJ90" s="27"/>
      <c r="AK90" s="27"/>
      <c r="AL90" s="27"/>
      <c r="AM90" s="27"/>
      <c r="AN90" s="27"/>
    </row>
    <row r="91" spans="1:40" ht="12" customHeight="1" x14ac:dyDescent="0.25">
      <c r="A91" s="27"/>
      <c r="B91" s="94"/>
      <c r="C91" s="94"/>
      <c r="D91" s="95"/>
      <c r="E91" s="95"/>
      <c r="F91" s="94"/>
      <c r="G91" s="94"/>
      <c r="H91" s="27"/>
      <c r="I91" s="27"/>
      <c r="J91" s="27"/>
      <c r="K91" s="96"/>
      <c r="L91" s="97"/>
      <c r="M91" s="94"/>
      <c r="N91" s="97"/>
      <c r="O91" s="94"/>
      <c r="P91" s="94"/>
      <c r="Q91" s="27"/>
      <c r="R91" s="94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94"/>
      <c r="AD91" s="96"/>
      <c r="AE91" s="96"/>
      <c r="AF91" s="96"/>
      <c r="AG91" s="96"/>
      <c r="AH91" s="27"/>
      <c r="AI91" s="27"/>
      <c r="AJ91" s="27"/>
      <c r="AK91" s="27"/>
      <c r="AL91" s="27"/>
      <c r="AM91" s="27"/>
      <c r="AN91" s="27"/>
    </row>
    <row r="92" spans="1:40" ht="12" customHeight="1" x14ac:dyDescent="0.25">
      <c r="A92" s="27"/>
      <c r="B92" s="94"/>
      <c r="C92" s="94"/>
      <c r="D92" s="95"/>
      <c r="E92" s="95"/>
      <c r="F92" s="94"/>
      <c r="G92" s="94"/>
      <c r="H92" s="27"/>
      <c r="I92" s="27"/>
      <c r="J92" s="27"/>
      <c r="K92" s="96"/>
      <c r="L92" s="97"/>
      <c r="M92" s="94"/>
      <c r="N92" s="97"/>
      <c r="O92" s="94"/>
      <c r="P92" s="94"/>
      <c r="Q92" s="27"/>
      <c r="R92" s="94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94"/>
      <c r="AD92" s="96"/>
      <c r="AE92" s="96"/>
      <c r="AF92" s="96"/>
      <c r="AG92" s="96"/>
      <c r="AH92" s="27"/>
      <c r="AI92" s="27"/>
      <c r="AJ92" s="27"/>
      <c r="AK92" s="27"/>
      <c r="AL92" s="27"/>
      <c r="AM92" s="27"/>
      <c r="AN92" s="27"/>
    </row>
    <row r="93" spans="1:40" ht="12" customHeight="1" x14ac:dyDescent="0.25">
      <c r="A93" s="27"/>
      <c r="B93" s="94"/>
      <c r="C93" s="94"/>
      <c r="D93" s="95"/>
      <c r="E93" s="95"/>
      <c r="F93" s="94"/>
      <c r="G93" s="94"/>
      <c r="H93" s="27"/>
      <c r="I93" s="27"/>
      <c r="J93" s="27"/>
      <c r="K93" s="96"/>
      <c r="L93" s="97"/>
      <c r="M93" s="94"/>
      <c r="N93" s="97"/>
      <c r="O93" s="94"/>
      <c r="P93" s="94"/>
      <c r="Q93" s="27"/>
      <c r="R93" s="94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94"/>
      <c r="AD93" s="96"/>
      <c r="AE93" s="96"/>
      <c r="AF93" s="96"/>
      <c r="AG93" s="96"/>
      <c r="AH93" s="27"/>
      <c r="AI93" s="27"/>
      <c r="AJ93" s="27"/>
      <c r="AK93" s="27"/>
      <c r="AL93" s="27"/>
      <c r="AM93" s="27"/>
      <c r="AN93" s="27"/>
    </row>
    <row r="94" spans="1:40" ht="12" customHeight="1" x14ac:dyDescent="0.25">
      <c r="A94" s="27"/>
      <c r="B94" s="94"/>
      <c r="C94" s="94"/>
      <c r="D94" s="95"/>
      <c r="E94" s="95"/>
      <c r="F94" s="94"/>
      <c r="G94" s="94"/>
      <c r="H94" s="27"/>
      <c r="I94" s="27"/>
      <c r="J94" s="27"/>
      <c r="K94" s="96"/>
      <c r="L94" s="97"/>
      <c r="M94" s="94"/>
      <c r="N94" s="97"/>
      <c r="O94" s="94"/>
      <c r="P94" s="94"/>
      <c r="Q94" s="27"/>
      <c r="R94" s="94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94"/>
      <c r="AD94" s="96"/>
      <c r="AE94" s="96"/>
      <c r="AF94" s="96"/>
      <c r="AG94" s="96"/>
      <c r="AH94" s="27"/>
      <c r="AI94" s="27"/>
      <c r="AJ94" s="27"/>
      <c r="AK94" s="27"/>
      <c r="AL94" s="27"/>
      <c r="AM94" s="27"/>
      <c r="AN94" s="27"/>
    </row>
    <row r="95" spans="1:40" ht="12" customHeight="1" x14ac:dyDescent="0.25">
      <c r="A95" s="27"/>
      <c r="B95" s="94"/>
      <c r="C95" s="94"/>
      <c r="D95" s="95"/>
      <c r="E95" s="95"/>
      <c r="F95" s="94"/>
      <c r="G95" s="94"/>
      <c r="H95" s="27"/>
      <c r="I95" s="27"/>
      <c r="J95" s="27"/>
      <c r="K95" s="96"/>
      <c r="L95" s="97"/>
      <c r="M95" s="94"/>
      <c r="N95" s="97"/>
      <c r="O95" s="94"/>
      <c r="P95" s="94"/>
      <c r="Q95" s="27"/>
      <c r="R95" s="94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94"/>
      <c r="AD95" s="96"/>
      <c r="AE95" s="96"/>
      <c r="AF95" s="96"/>
      <c r="AG95" s="96"/>
      <c r="AH95" s="27"/>
      <c r="AI95" s="27"/>
      <c r="AJ95" s="27"/>
      <c r="AK95" s="27"/>
      <c r="AL95" s="27"/>
      <c r="AM95" s="27"/>
      <c r="AN95" s="27"/>
    </row>
    <row r="96" spans="1:40" ht="12" customHeight="1" x14ac:dyDescent="0.25">
      <c r="A96" s="27"/>
      <c r="B96" s="94"/>
      <c r="C96" s="94"/>
      <c r="D96" s="95"/>
      <c r="E96" s="95"/>
      <c r="F96" s="94"/>
      <c r="G96" s="94"/>
      <c r="H96" s="27"/>
      <c r="I96" s="27"/>
      <c r="J96" s="27"/>
      <c r="K96" s="96"/>
      <c r="L96" s="97"/>
      <c r="M96" s="94"/>
      <c r="N96" s="97"/>
      <c r="O96" s="94"/>
      <c r="P96" s="94"/>
      <c r="Q96" s="27"/>
      <c r="R96" s="94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94"/>
      <c r="AD96" s="96"/>
      <c r="AE96" s="96"/>
      <c r="AF96" s="96"/>
      <c r="AG96" s="96"/>
      <c r="AH96" s="27"/>
      <c r="AI96" s="27"/>
      <c r="AJ96" s="27"/>
      <c r="AK96" s="27"/>
      <c r="AL96" s="27"/>
      <c r="AM96" s="27"/>
      <c r="AN96" s="27"/>
    </row>
    <row r="97" spans="1:40" ht="12" customHeight="1" x14ac:dyDescent="0.25">
      <c r="A97" s="27"/>
      <c r="B97" s="94"/>
      <c r="C97" s="94"/>
      <c r="D97" s="95"/>
      <c r="E97" s="95"/>
      <c r="F97" s="94"/>
      <c r="G97" s="94"/>
      <c r="H97" s="27"/>
      <c r="I97" s="27"/>
      <c r="J97" s="27"/>
      <c r="K97" s="96"/>
      <c r="L97" s="97"/>
      <c r="M97" s="94"/>
      <c r="N97" s="97"/>
      <c r="O97" s="94"/>
      <c r="P97" s="94"/>
      <c r="Q97" s="27"/>
      <c r="R97" s="94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94"/>
      <c r="AD97" s="96"/>
      <c r="AE97" s="96"/>
      <c r="AF97" s="96"/>
      <c r="AG97" s="96"/>
      <c r="AH97" s="27"/>
      <c r="AI97" s="27"/>
      <c r="AJ97" s="27"/>
      <c r="AK97" s="27"/>
      <c r="AL97" s="27"/>
      <c r="AM97" s="27"/>
      <c r="AN97" s="27"/>
    </row>
    <row r="98" spans="1:40" ht="12" customHeight="1" x14ac:dyDescent="0.25">
      <c r="A98" s="27"/>
      <c r="B98" s="94"/>
      <c r="C98" s="94"/>
      <c r="D98" s="95"/>
      <c r="E98" s="95"/>
      <c r="F98" s="94"/>
      <c r="G98" s="94"/>
      <c r="H98" s="27"/>
      <c r="I98" s="27"/>
      <c r="J98" s="27"/>
      <c r="K98" s="96"/>
      <c r="L98" s="97"/>
      <c r="M98" s="94"/>
      <c r="N98" s="97"/>
      <c r="O98" s="94"/>
      <c r="P98" s="94"/>
      <c r="Q98" s="27"/>
      <c r="R98" s="94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94"/>
      <c r="AD98" s="96"/>
      <c r="AE98" s="96"/>
      <c r="AF98" s="96"/>
      <c r="AG98" s="96"/>
      <c r="AH98" s="27"/>
      <c r="AI98" s="27"/>
      <c r="AJ98" s="27"/>
      <c r="AK98" s="27"/>
      <c r="AL98" s="27"/>
      <c r="AM98" s="27"/>
      <c r="AN98" s="27"/>
    </row>
    <row r="99" spans="1:40" ht="12" customHeight="1" x14ac:dyDescent="0.25">
      <c r="A99" s="27"/>
      <c r="B99" s="94"/>
      <c r="C99" s="94"/>
      <c r="D99" s="95"/>
      <c r="E99" s="95"/>
      <c r="F99" s="94"/>
      <c r="G99" s="94"/>
      <c r="H99" s="27"/>
      <c r="I99" s="27"/>
      <c r="J99" s="27"/>
      <c r="K99" s="96"/>
      <c r="L99" s="97"/>
      <c r="M99" s="94"/>
      <c r="N99" s="97"/>
      <c r="O99" s="94"/>
      <c r="P99" s="94"/>
      <c r="Q99" s="27"/>
      <c r="R99" s="94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94"/>
      <c r="AD99" s="96"/>
      <c r="AE99" s="96"/>
      <c r="AF99" s="96"/>
      <c r="AG99" s="96"/>
      <c r="AH99" s="27"/>
      <c r="AI99" s="27"/>
      <c r="AJ99" s="27"/>
      <c r="AK99" s="27"/>
      <c r="AL99" s="27"/>
      <c r="AM99" s="27"/>
      <c r="AN99" s="27"/>
    </row>
    <row r="100" spans="1:40" ht="15.75" customHeight="1" x14ac:dyDescent="0.25"/>
  </sheetData>
  <autoFilter ref="A3:AN11" xr:uid="{00000000-0009-0000-0000-000001000000}"/>
  <mergeCells count="2">
    <mergeCell ref="AD2:AG2"/>
    <mergeCell ref="AB2:AC2"/>
  </mergeCells>
  <conditionalFormatting sqref="AN4:AN11">
    <cfRule type="cellIs" dxfId="2" priority="1" operator="notEqual">
      <formula>0</formula>
    </cfRule>
  </conditionalFormatting>
  <pageMargins left="0.7" right="0.7" top="0.75" bottom="0.75" header="0" footer="0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92E2A8E-D925-44FA-B07A-9C9FE8E40B2E}">
          <x14:formula1>
            <xm:f>'Customer list'!$A$1:$A$12</xm:f>
          </x14:formula1>
          <xm:sqref>B4:B19</xm:sqref>
        </x14:dataValidation>
        <x14:dataValidation type="list" allowBlank="1" showInputMessage="1" showErrorMessage="1" xr:uid="{F3B195C4-445D-4D6D-8BA5-07C5023E87AC}">
          <x14:formula1>
            <xm:f>'Forwarder list'!$A$1:$A$11</xm:f>
          </x14:formula1>
          <xm:sqref>M4:M19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workbookViewId="0">
      <pane xSplit="6" ySplit="3" topLeftCell="P4" activePane="bottomRight" state="frozen"/>
      <selection pane="topRight" activeCell="G1" sqref="G1"/>
      <selection pane="bottomLeft" activeCell="A4" sqref="A4"/>
      <selection pane="bottomRight" activeCell="W4" sqref="W4"/>
    </sheetView>
  </sheetViews>
  <sheetFormatPr defaultColWidth="14.42578125" defaultRowHeight="15" customHeight="1" x14ac:dyDescent="0.25"/>
  <cols>
    <col min="1" max="1" width="21.7109375" customWidth="1"/>
    <col min="2" max="2" width="11" customWidth="1"/>
    <col min="3" max="3" width="14" customWidth="1"/>
    <col min="4" max="4" width="36.42578125" customWidth="1"/>
    <col min="5" max="5" width="7.85546875" customWidth="1"/>
    <col min="6" max="6" width="10.140625" customWidth="1"/>
    <col min="7" max="7" width="15.140625" customWidth="1"/>
    <col min="8" max="8" width="15.42578125" customWidth="1"/>
    <col min="9" max="9" width="18.140625" customWidth="1"/>
    <col min="10" max="10" width="16.85546875" customWidth="1"/>
    <col min="11" max="11" width="12.5703125" customWidth="1"/>
    <col min="12" max="12" width="24" customWidth="1"/>
    <col min="13" max="13" width="13.85546875" customWidth="1"/>
    <col min="14" max="14" width="20.140625" customWidth="1"/>
    <col min="15" max="15" width="19" customWidth="1"/>
    <col min="16" max="16" width="15.140625" customWidth="1"/>
    <col min="17" max="17" width="20.5703125" customWidth="1"/>
    <col min="18" max="19" width="19.5703125" customWidth="1"/>
    <col min="20" max="20" width="16.85546875" customWidth="1"/>
    <col min="21" max="21" width="22.28515625" customWidth="1"/>
    <col min="22" max="22" width="18.140625" customWidth="1"/>
    <col min="23" max="23" width="16.85546875" customWidth="1"/>
    <col min="24" max="24" width="14.42578125" customWidth="1"/>
    <col min="25" max="25" width="14.5703125" customWidth="1"/>
    <col min="26" max="26" width="12.85546875" customWidth="1"/>
    <col min="27" max="27" width="13.85546875" customWidth="1"/>
    <col min="28" max="28" width="11.85546875" customWidth="1"/>
    <col min="29" max="29" width="34" customWidth="1"/>
    <col min="30" max="30" width="22.85546875" customWidth="1"/>
    <col min="31" max="31" width="17.7109375" customWidth="1"/>
    <col min="32" max="32" width="16.85546875" customWidth="1"/>
    <col min="33" max="33" width="14.42578125" customWidth="1"/>
    <col min="34" max="34" width="15" customWidth="1"/>
    <col min="35" max="35" width="14.140625" customWidth="1"/>
  </cols>
  <sheetData>
    <row r="1" spans="1:35" ht="27" customHeight="1" x14ac:dyDescent="0.25">
      <c r="A1" s="2" t="s">
        <v>94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96"/>
      <c r="M1" s="97"/>
      <c r="N1" s="96"/>
      <c r="O1" s="97"/>
      <c r="P1" s="97"/>
      <c r="Q1" s="96"/>
      <c r="R1" s="188"/>
      <c r="S1" s="188"/>
      <c r="T1" s="189"/>
      <c r="U1" s="27"/>
      <c r="V1" s="94"/>
      <c r="W1" s="94"/>
      <c r="X1" s="94"/>
      <c r="Y1" s="94"/>
      <c r="Z1" s="94"/>
      <c r="AA1" s="94"/>
      <c r="AB1" s="94"/>
      <c r="AC1" s="27"/>
      <c r="AD1" s="27"/>
      <c r="AE1" s="27"/>
      <c r="AF1" s="27"/>
      <c r="AG1" s="27"/>
      <c r="AH1" s="27"/>
      <c r="AI1" s="27"/>
    </row>
    <row r="2" spans="1:35" ht="20.25" customHeight="1" x14ac:dyDescent="0.25">
      <c r="A2" s="190" t="s">
        <v>95</v>
      </c>
      <c r="B2" s="190" t="s">
        <v>4</v>
      </c>
      <c r="C2" s="190" t="s">
        <v>6</v>
      </c>
      <c r="D2" s="190" t="s">
        <v>5</v>
      </c>
      <c r="E2" s="190" t="s">
        <v>7</v>
      </c>
      <c r="F2" s="190" t="s">
        <v>8</v>
      </c>
      <c r="G2" s="190" t="s">
        <v>96</v>
      </c>
      <c r="H2" s="190" t="s">
        <v>10</v>
      </c>
      <c r="I2" s="190" t="s">
        <v>11</v>
      </c>
      <c r="J2" s="190" t="s">
        <v>97</v>
      </c>
      <c r="K2" s="190" t="s">
        <v>98</v>
      </c>
      <c r="L2" s="191" t="s">
        <v>15</v>
      </c>
      <c r="M2" s="191" t="s">
        <v>99</v>
      </c>
      <c r="N2" s="191" t="s">
        <v>100</v>
      </c>
      <c r="O2" s="191" t="s">
        <v>17</v>
      </c>
      <c r="P2" s="191" t="s">
        <v>18</v>
      </c>
      <c r="Q2" s="191" t="s">
        <v>14</v>
      </c>
      <c r="R2" s="192" t="s">
        <v>101</v>
      </c>
      <c r="S2" s="193" t="s">
        <v>102</v>
      </c>
      <c r="T2" s="191" t="s">
        <v>103</v>
      </c>
      <c r="U2" s="190" t="s">
        <v>20</v>
      </c>
      <c r="V2" s="191" t="s">
        <v>104</v>
      </c>
      <c r="W2" s="190" t="s">
        <v>21</v>
      </c>
      <c r="X2" s="190" t="s">
        <v>105</v>
      </c>
      <c r="Y2" s="190" t="s">
        <v>22</v>
      </c>
      <c r="Z2" s="190" t="s">
        <v>23</v>
      </c>
      <c r="AA2" s="190" t="s">
        <v>106</v>
      </c>
      <c r="AB2" s="190" t="s">
        <v>26</v>
      </c>
      <c r="AC2" s="190" t="s">
        <v>27</v>
      </c>
      <c r="AD2" s="194" t="s">
        <v>107</v>
      </c>
      <c r="AE2" s="195" t="s">
        <v>108</v>
      </c>
      <c r="AF2" s="190" t="s">
        <v>109</v>
      </c>
      <c r="AG2" s="190" t="s">
        <v>108</v>
      </c>
      <c r="AH2" s="190" t="s">
        <v>110</v>
      </c>
      <c r="AI2" s="190" t="s">
        <v>111</v>
      </c>
    </row>
    <row r="3" spans="1:35" ht="30" customHeight="1" x14ac:dyDescent="0.25">
      <c r="A3" s="196" t="s">
        <v>112</v>
      </c>
      <c r="B3" s="196" t="s">
        <v>113</v>
      </c>
      <c r="C3" s="196"/>
      <c r="D3" s="196" t="s">
        <v>114</v>
      </c>
      <c r="E3" s="196" t="s">
        <v>115</v>
      </c>
      <c r="F3" s="196" t="s">
        <v>116</v>
      </c>
      <c r="G3" s="196" t="s">
        <v>117</v>
      </c>
      <c r="H3" s="196" t="s">
        <v>118</v>
      </c>
      <c r="I3" s="196"/>
      <c r="J3" s="196" t="s">
        <v>119</v>
      </c>
      <c r="K3" s="196" t="s">
        <v>120</v>
      </c>
      <c r="L3" s="197" t="s">
        <v>121</v>
      </c>
      <c r="M3" s="197"/>
      <c r="N3" s="197" t="s">
        <v>122</v>
      </c>
      <c r="O3" s="197" t="s">
        <v>123</v>
      </c>
      <c r="P3" s="197" t="s">
        <v>124</v>
      </c>
      <c r="Q3" s="197" t="s">
        <v>125</v>
      </c>
      <c r="R3" s="198" t="s">
        <v>126</v>
      </c>
      <c r="S3" s="199" t="s">
        <v>127</v>
      </c>
      <c r="T3" s="200" t="s">
        <v>127</v>
      </c>
      <c r="U3" s="196" t="s">
        <v>128</v>
      </c>
      <c r="V3" s="197" t="s">
        <v>129</v>
      </c>
      <c r="W3" s="196" t="s">
        <v>130</v>
      </c>
      <c r="X3" s="196" t="s">
        <v>131</v>
      </c>
      <c r="Y3" s="196" t="s">
        <v>132</v>
      </c>
      <c r="Z3" s="196" t="s">
        <v>133</v>
      </c>
      <c r="AA3" s="196" t="s">
        <v>134</v>
      </c>
      <c r="AB3" s="196"/>
      <c r="AC3" s="196" t="s">
        <v>135</v>
      </c>
      <c r="AD3" s="201" t="s">
        <v>136</v>
      </c>
      <c r="AE3" s="202" t="s">
        <v>137</v>
      </c>
      <c r="AF3" s="196"/>
      <c r="AG3" s="196" t="s">
        <v>138</v>
      </c>
      <c r="AH3" s="196"/>
      <c r="AI3" s="196" t="s">
        <v>139</v>
      </c>
    </row>
    <row r="4" spans="1:35" ht="43.5" customHeight="1" x14ac:dyDescent="0.25">
      <c r="A4" s="203" t="s">
        <v>35</v>
      </c>
      <c r="B4" s="204" t="s">
        <v>36</v>
      </c>
      <c r="C4" s="205" t="s">
        <v>140</v>
      </c>
      <c r="D4" s="206" t="s">
        <v>141</v>
      </c>
      <c r="E4" s="207" t="s">
        <v>142</v>
      </c>
      <c r="F4" s="208">
        <v>1000</v>
      </c>
      <c r="G4" s="209">
        <v>1</v>
      </c>
      <c r="H4" s="209">
        <f t="shared" ref="H4:H5" si="0">F4*G4</f>
        <v>1000</v>
      </c>
      <c r="I4" s="210">
        <f>IMP_Details!AU4</f>
        <v>9208014</v>
      </c>
      <c r="J4" s="203"/>
      <c r="K4" s="211"/>
      <c r="L4" s="203" t="s">
        <v>143</v>
      </c>
      <c r="M4" s="212" t="s">
        <v>144</v>
      </c>
      <c r="N4" s="203" t="s">
        <v>145</v>
      </c>
      <c r="O4" s="212" t="s">
        <v>146</v>
      </c>
      <c r="P4" s="213">
        <v>45309</v>
      </c>
      <c r="Q4" s="203" t="s">
        <v>147</v>
      </c>
      <c r="R4" s="214">
        <v>45369</v>
      </c>
      <c r="S4" s="213"/>
      <c r="T4" s="215" t="s">
        <v>148</v>
      </c>
      <c r="U4" s="203" t="s">
        <v>149</v>
      </c>
      <c r="V4" s="392">
        <v>45308</v>
      </c>
      <c r="W4" s="392">
        <v>45308</v>
      </c>
      <c r="X4" s="213"/>
      <c r="Y4" s="213">
        <v>45309</v>
      </c>
      <c r="Z4" s="213">
        <v>45310</v>
      </c>
      <c r="AA4" s="213"/>
      <c r="AB4" s="207" t="s">
        <v>150</v>
      </c>
      <c r="AC4" s="203"/>
      <c r="AD4" s="216" t="s">
        <v>44</v>
      </c>
      <c r="AE4" s="217"/>
      <c r="AF4" s="218"/>
      <c r="AG4" s="219"/>
      <c r="AH4" s="219"/>
      <c r="AI4" s="220"/>
    </row>
    <row r="5" spans="1:35" ht="43.5" customHeight="1" x14ac:dyDescent="0.25">
      <c r="A5" s="79" t="s">
        <v>151</v>
      </c>
      <c r="B5" s="221" t="s">
        <v>50</v>
      </c>
      <c r="C5" s="222" t="s">
        <v>140</v>
      </c>
      <c r="D5" s="79" t="s">
        <v>152</v>
      </c>
      <c r="E5" s="80" t="s">
        <v>142</v>
      </c>
      <c r="F5" s="81">
        <v>2000</v>
      </c>
      <c r="G5" s="92">
        <v>2</v>
      </c>
      <c r="H5" s="92">
        <f t="shared" si="0"/>
        <v>4000</v>
      </c>
      <c r="I5" s="223">
        <f>IMP_Details!AU5</f>
        <v>111616121.90000001</v>
      </c>
      <c r="J5" s="79"/>
      <c r="K5" s="86"/>
      <c r="L5" s="79" t="s">
        <v>143</v>
      </c>
      <c r="M5" s="85" t="s">
        <v>144</v>
      </c>
      <c r="N5" s="79" t="s">
        <v>145</v>
      </c>
      <c r="O5" s="85" t="s">
        <v>153</v>
      </c>
      <c r="P5" s="78">
        <v>45314</v>
      </c>
      <c r="Q5" s="79" t="s">
        <v>147</v>
      </c>
      <c r="R5" s="214">
        <v>45374</v>
      </c>
      <c r="S5" s="78"/>
      <c r="T5" s="224" t="s">
        <v>154</v>
      </c>
      <c r="U5" s="79" t="s">
        <v>149</v>
      </c>
      <c r="V5" s="78">
        <v>45315</v>
      </c>
      <c r="W5" s="78">
        <v>45315</v>
      </c>
      <c r="X5" s="78"/>
      <c r="Y5" s="78">
        <v>45316</v>
      </c>
      <c r="Z5" s="78">
        <v>45317</v>
      </c>
      <c r="AA5" s="78"/>
      <c r="AB5" s="80" t="s">
        <v>150</v>
      </c>
      <c r="AC5" s="79"/>
      <c r="AD5" s="225" t="s">
        <v>44</v>
      </c>
      <c r="AE5" s="226">
        <f>I5</f>
        <v>111616121.90000001</v>
      </c>
      <c r="AF5" s="227">
        <f>IMP_Details!T5</f>
        <v>26339.59</v>
      </c>
      <c r="AG5" s="228">
        <f>ROUND(AE5/AF5/F5,2)</f>
        <v>2.12</v>
      </c>
      <c r="AH5" s="228">
        <f>AG5+G5</f>
        <v>4.12</v>
      </c>
      <c r="AI5" s="229">
        <f>ROUND(AG5/AH5,3)</f>
        <v>0.51500000000000001</v>
      </c>
    </row>
    <row r="6" spans="1:35" ht="38.25" customHeight="1" x14ac:dyDescent="0.25">
      <c r="A6" s="230"/>
      <c r="B6" s="221"/>
      <c r="C6" s="221"/>
      <c r="D6" s="231"/>
      <c r="E6" s="221"/>
      <c r="F6" s="232"/>
      <c r="G6" s="233"/>
      <c r="H6" s="233"/>
      <c r="I6" s="234"/>
      <c r="J6" s="235"/>
      <c r="K6" s="236"/>
      <c r="L6" s="230"/>
      <c r="M6" s="237"/>
      <c r="N6" s="230"/>
      <c r="O6" s="237"/>
      <c r="P6" s="238"/>
      <c r="Q6" s="79"/>
      <c r="R6" s="214"/>
      <c r="S6" s="239"/>
      <c r="T6" s="240"/>
      <c r="U6" s="230"/>
      <c r="V6" s="239"/>
      <c r="W6" s="239"/>
      <c r="X6" s="239"/>
      <c r="Y6" s="239"/>
      <c r="Z6" s="239"/>
      <c r="AA6" s="78"/>
      <c r="AB6" s="221"/>
      <c r="AC6" s="230"/>
      <c r="AD6" s="241"/>
      <c r="AE6" s="242"/>
      <c r="AF6" s="243"/>
      <c r="AG6" s="244"/>
      <c r="AH6" s="244"/>
      <c r="AI6" s="245"/>
    </row>
    <row r="7" spans="1:35" ht="38.25" customHeight="1" x14ac:dyDescent="0.25">
      <c r="A7" s="230"/>
      <c r="B7" s="221"/>
      <c r="C7" s="221"/>
      <c r="D7" s="231"/>
      <c r="E7" s="221"/>
      <c r="F7" s="232"/>
      <c r="G7" s="233"/>
      <c r="H7" s="233"/>
      <c r="I7" s="234"/>
      <c r="J7" s="235"/>
      <c r="K7" s="236"/>
      <c r="L7" s="230"/>
      <c r="M7" s="237"/>
      <c r="N7" s="230"/>
      <c r="O7" s="237"/>
      <c r="P7" s="238"/>
      <c r="Q7" s="79"/>
      <c r="R7" s="214"/>
      <c r="S7" s="239"/>
      <c r="T7" s="240"/>
      <c r="U7" s="230"/>
      <c r="V7" s="239"/>
      <c r="W7" s="239"/>
      <c r="X7" s="239"/>
      <c r="Y7" s="239"/>
      <c r="Z7" s="239"/>
      <c r="AA7" s="78"/>
      <c r="AB7" s="221"/>
      <c r="AC7" s="230"/>
      <c r="AD7" s="241"/>
      <c r="AE7" s="242"/>
      <c r="AF7" s="243"/>
      <c r="AG7" s="244"/>
      <c r="AH7" s="244"/>
      <c r="AI7" s="245"/>
    </row>
    <row r="8" spans="1:35" ht="38.25" customHeight="1" x14ac:dyDescent="0.25">
      <c r="A8" s="230"/>
      <c r="B8" s="221"/>
      <c r="C8" s="221"/>
      <c r="D8" s="231"/>
      <c r="E8" s="221"/>
      <c r="F8" s="232"/>
      <c r="G8" s="233"/>
      <c r="H8" s="233"/>
      <c r="I8" s="234"/>
      <c r="J8" s="235"/>
      <c r="K8" s="236"/>
      <c r="L8" s="230"/>
      <c r="M8" s="237"/>
      <c r="N8" s="230"/>
      <c r="O8" s="237"/>
      <c r="P8" s="238"/>
      <c r="Q8" s="79"/>
      <c r="R8" s="214"/>
      <c r="S8" s="239"/>
      <c r="T8" s="240"/>
      <c r="U8" s="230"/>
      <c r="V8" s="239"/>
      <c r="W8" s="239"/>
      <c r="X8" s="239"/>
      <c r="Y8" s="239"/>
      <c r="Z8" s="239"/>
      <c r="AA8" s="78"/>
      <c r="AB8" s="221"/>
      <c r="AC8" s="230"/>
      <c r="AD8" s="241"/>
      <c r="AE8" s="242"/>
      <c r="AF8" s="243"/>
      <c r="AG8" s="244"/>
      <c r="AH8" s="244"/>
      <c r="AI8" s="245"/>
    </row>
    <row r="9" spans="1:35" ht="38.25" customHeight="1" x14ac:dyDescent="0.25">
      <c r="A9" s="230"/>
      <c r="B9" s="221"/>
      <c r="C9" s="221"/>
      <c r="D9" s="231"/>
      <c r="E9" s="221"/>
      <c r="F9" s="232"/>
      <c r="G9" s="233"/>
      <c r="H9" s="233"/>
      <c r="I9" s="234"/>
      <c r="J9" s="235"/>
      <c r="K9" s="236"/>
      <c r="L9" s="230"/>
      <c r="M9" s="237"/>
      <c r="N9" s="230"/>
      <c r="O9" s="237"/>
      <c r="P9" s="238"/>
      <c r="Q9" s="79"/>
      <c r="R9" s="214"/>
      <c r="S9" s="239"/>
      <c r="T9" s="240"/>
      <c r="U9" s="230"/>
      <c r="V9" s="239"/>
      <c r="W9" s="239"/>
      <c r="X9" s="239"/>
      <c r="Y9" s="239"/>
      <c r="Z9" s="239"/>
      <c r="AA9" s="78"/>
      <c r="AB9" s="221"/>
      <c r="AC9" s="230"/>
      <c r="AD9" s="241"/>
      <c r="AE9" s="242"/>
      <c r="AF9" s="243"/>
      <c r="AG9" s="244"/>
      <c r="AH9" s="244"/>
      <c r="AI9" s="245"/>
    </row>
    <row r="10" spans="1:35" ht="38.25" customHeight="1" x14ac:dyDescent="0.25">
      <c r="A10" s="230"/>
      <c r="B10" s="221"/>
      <c r="C10" s="221"/>
      <c r="D10" s="231"/>
      <c r="E10" s="221"/>
      <c r="F10" s="232"/>
      <c r="G10" s="233"/>
      <c r="H10" s="233"/>
      <c r="I10" s="234"/>
      <c r="J10" s="235"/>
      <c r="K10" s="236"/>
      <c r="L10" s="230"/>
      <c r="M10" s="237"/>
      <c r="N10" s="230"/>
      <c r="O10" s="237"/>
      <c r="P10" s="238"/>
      <c r="Q10" s="79"/>
      <c r="R10" s="246"/>
      <c r="S10" s="239"/>
      <c r="T10" s="240"/>
      <c r="U10" s="230"/>
      <c r="V10" s="239"/>
      <c r="W10" s="239"/>
      <c r="X10" s="239"/>
      <c r="Y10" s="239"/>
      <c r="Z10" s="239"/>
      <c r="AA10" s="78"/>
      <c r="AB10" s="221"/>
      <c r="AC10" s="230"/>
      <c r="AD10" s="241"/>
      <c r="AE10" s="242"/>
      <c r="AF10" s="243"/>
      <c r="AG10" s="244"/>
      <c r="AH10" s="244"/>
      <c r="AI10" s="245"/>
    </row>
    <row r="11" spans="1:35" ht="38.25" customHeight="1" x14ac:dyDescent="0.25">
      <c r="A11" s="230"/>
      <c r="B11" s="221"/>
      <c r="C11" s="221"/>
      <c r="D11" s="231"/>
      <c r="E11" s="221"/>
      <c r="F11" s="232"/>
      <c r="G11" s="233"/>
      <c r="H11" s="233"/>
      <c r="I11" s="234"/>
      <c r="J11" s="235"/>
      <c r="K11" s="236"/>
      <c r="L11" s="230"/>
      <c r="M11" s="237"/>
      <c r="N11" s="230"/>
      <c r="O11" s="237"/>
      <c r="P11" s="238"/>
      <c r="Q11" s="79"/>
      <c r="R11" s="214"/>
      <c r="S11" s="239"/>
      <c r="T11" s="240"/>
      <c r="U11" s="230"/>
      <c r="V11" s="239"/>
      <c r="W11" s="239"/>
      <c r="X11" s="239"/>
      <c r="Y11" s="239"/>
      <c r="Z11" s="239"/>
      <c r="AA11" s="78"/>
      <c r="AB11" s="221"/>
      <c r="AC11" s="230"/>
      <c r="AD11" s="241"/>
      <c r="AE11" s="242"/>
      <c r="AF11" s="243"/>
      <c r="AG11" s="244"/>
      <c r="AH11" s="244"/>
      <c r="AI11" s="245"/>
    </row>
    <row r="12" spans="1:35" ht="38.25" customHeight="1" x14ac:dyDescent="0.25">
      <c r="A12" s="230"/>
      <c r="B12" s="221"/>
      <c r="C12" s="221"/>
      <c r="D12" s="231"/>
      <c r="E12" s="221"/>
      <c r="F12" s="232"/>
      <c r="G12" s="233"/>
      <c r="H12" s="233"/>
      <c r="I12" s="234"/>
      <c r="J12" s="235"/>
      <c r="K12" s="236"/>
      <c r="L12" s="230"/>
      <c r="M12" s="237"/>
      <c r="N12" s="230"/>
      <c r="O12" s="237"/>
      <c r="P12" s="238"/>
      <c r="Q12" s="79"/>
      <c r="R12" s="214"/>
      <c r="S12" s="239"/>
      <c r="T12" s="240"/>
      <c r="U12" s="230"/>
      <c r="V12" s="239"/>
      <c r="W12" s="239"/>
      <c r="X12" s="239"/>
      <c r="Y12" s="239"/>
      <c r="Z12" s="239"/>
      <c r="AA12" s="78"/>
      <c r="AB12" s="221"/>
      <c r="AC12" s="230"/>
      <c r="AD12" s="241"/>
      <c r="AE12" s="242"/>
      <c r="AF12" s="243"/>
      <c r="AG12" s="244"/>
      <c r="AH12" s="244"/>
      <c r="AI12" s="245"/>
    </row>
    <row r="13" spans="1:35" ht="38.25" customHeight="1" x14ac:dyDescent="0.25">
      <c r="A13" s="230"/>
      <c r="B13" s="221"/>
      <c r="C13" s="221"/>
      <c r="D13" s="231"/>
      <c r="E13" s="221"/>
      <c r="F13" s="232"/>
      <c r="G13" s="233"/>
      <c r="H13" s="233"/>
      <c r="I13" s="234"/>
      <c r="J13" s="235"/>
      <c r="K13" s="236"/>
      <c r="L13" s="230"/>
      <c r="M13" s="237"/>
      <c r="N13" s="230"/>
      <c r="O13" s="237"/>
      <c r="P13" s="238"/>
      <c r="Q13" s="79"/>
      <c r="R13" s="214"/>
      <c r="S13" s="239"/>
      <c r="T13" s="240"/>
      <c r="U13" s="230"/>
      <c r="V13" s="239"/>
      <c r="W13" s="239"/>
      <c r="X13" s="239"/>
      <c r="Y13" s="239"/>
      <c r="Z13" s="239"/>
      <c r="AA13" s="78"/>
      <c r="AB13" s="221"/>
      <c r="AC13" s="230"/>
      <c r="AD13" s="241"/>
      <c r="AE13" s="242"/>
      <c r="AF13" s="243">
        <f>IMP_Details!T10</f>
        <v>0</v>
      </c>
      <c r="AG13" s="244"/>
      <c r="AH13" s="244"/>
      <c r="AI13" s="245"/>
    </row>
    <row r="14" spans="1:35" ht="12" customHeight="1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96"/>
      <c r="M14" s="97"/>
      <c r="N14" s="96"/>
      <c r="O14" s="97"/>
      <c r="P14" s="97"/>
      <c r="Q14" s="96"/>
      <c r="R14" s="188"/>
      <c r="S14" s="188"/>
      <c r="T14" s="189"/>
      <c r="U14" s="27"/>
      <c r="V14" s="94"/>
      <c r="W14" s="94"/>
      <c r="X14" s="94"/>
      <c r="Y14" s="94"/>
      <c r="Z14" s="94"/>
      <c r="AA14" s="94"/>
      <c r="AB14" s="94"/>
      <c r="AC14" s="27"/>
      <c r="AD14" s="27"/>
      <c r="AE14" s="27"/>
      <c r="AF14" s="27"/>
      <c r="AG14" s="27"/>
      <c r="AH14" s="27"/>
      <c r="AI14" s="27"/>
    </row>
    <row r="15" spans="1:35" ht="12" customHeight="1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96"/>
      <c r="M15" s="97"/>
      <c r="N15" s="96"/>
      <c r="O15" s="97"/>
      <c r="P15" s="97"/>
      <c r="Q15" s="96"/>
      <c r="R15" s="188"/>
      <c r="S15" s="188"/>
      <c r="T15" s="189"/>
      <c r="U15" s="27"/>
      <c r="V15" s="94"/>
      <c r="W15" s="94"/>
      <c r="X15" s="94"/>
      <c r="Y15" s="94"/>
      <c r="Z15" s="94"/>
      <c r="AA15" s="94"/>
      <c r="AB15" s="94"/>
      <c r="AC15" s="27"/>
      <c r="AD15" s="27"/>
      <c r="AE15" s="27"/>
      <c r="AF15" s="27"/>
      <c r="AG15" s="27"/>
      <c r="AH15" s="27"/>
      <c r="AI15" s="27"/>
    </row>
    <row r="16" spans="1:35" ht="12" customHeight="1" x14ac:dyDescent="0.25">
      <c r="A16" s="27"/>
      <c r="B16" s="247"/>
      <c r="C16" s="27"/>
      <c r="D16" s="27"/>
      <c r="E16" s="248"/>
      <c r="F16" s="249"/>
      <c r="G16" s="27"/>
      <c r="H16" s="27"/>
      <c r="I16" s="27"/>
      <c r="J16" s="27"/>
      <c r="K16" s="27"/>
      <c r="L16" s="96"/>
      <c r="M16" s="97"/>
      <c r="N16" s="96"/>
      <c r="O16" s="97"/>
      <c r="P16" s="97"/>
      <c r="Q16" s="96"/>
      <c r="R16" s="188"/>
      <c r="S16" s="188"/>
      <c r="T16" s="189"/>
      <c r="U16" s="27"/>
      <c r="V16" s="94"/>
      <c r="W16" s="94"/>
      <c r="X16" s="94"/>
      <c r="Y16" s="94"/>
      <c r="Z16" s="94"/>
      <c r="AA16" s="94"/>
      <c r="AB16" s="94"/>
      <c r="AC16" s="27"/>
      <c r="AD16" s="27"/>
      <c r="AE16" s="27"/>
      <c r="AF16" s="27"/>
      <c r="AG16" s="27"/>
      <c r="AH16" s="27"/>
      <c r="AI16" s="27"/>
    </row>
    <row r="17" spans="1:35" ht="12" customHeight="1" x14ac:dyDescent="0.25">
      <c r="A17" s="27"/>
      <c r="B17" s="247"/>
      <c r="C17" s="27"/>
      <c r="D17" s="27"/>
      <c r="E17" s="248"/>
      <c r="F17" s="249"/>
      <c r="G17" s="27"/>
      <c r="H17" s="27"/>
      <c r="I17" s="27"/>
      <c r="J17" s="27"/>
      <c r="K17" s="27"/>
      <c r="L17" s="96"/>
      <c r="M17" s="97"/>
      <c r="N17" s="96"/>
      <c r="O17" s="97"/>
      <c r="P17" s="97"/>
      <c r="Q17" s="96"/>
      <c r="R17" s="188"/>
      <c r="S17" s="188"/>
      <c r="T17" s="189"/>
      <c r="U17" s="27"/>
      <c r="V17" s="94"/>
      <c r="W17" s="94"/>
      <c r="X17" s="94"/>
      <c r="Y17" s="94"/>
      <c r="Z17" s="94"/>
      <c r="AA17" s="94"/>
      <c r="AB17" s="94"/>
      <c r="AC17" s="27"/>
      <c r="AD17" s="27"/>
      <c r="AE17" s="27"/>
      <c r="AF17" s="27"/>
      <c r="AG17" s="27"/>
      <c r="AH17" s="27"/>
      <c r="AI17" s="27"/>
    </row>
    <row r="18" spans="1:35" ht="12" customHeight="1" x14ac:dyDescent="0.25">
      <c r="A18" s="27"/>
      <c r="B18" s="27"/>
      <c r="C18" s="27"/>
      <c r="D18" s="27"/>
      <c r="E18" s="27"/>
      <c r="F18" s="249"/>
      <c r="G18" s="27"/>
      <c r="H18" s="27"/>
      <c r="I18" s="27"/>
      <c r="J18" s="27"/>
      <c r="K18" s="27"/>
      <c r="L18" s="96"/>
      <c r="M18" s="97"/>
      <c r="N18" s="96"/>
      <c r="O18" s="97"/>
      <c r="P18" s="97"/>
      <c r="Q18" s="96"/>
      <c r="R18" s="188"/>
      <c r="S18" s="188"/>
      <c r="T18" s="189"/>
      <c r="U18" s="27"/>
      <c r="V18" s="94"/>
      <c r="W18" s="94"/>
      <c r="X18" s="94"/>
      <c r="Y18" s="94"/>
      <c r="Z18" s="94"/>
      <c r="AA18" s="94"/>
      <c r="AB18" s="94"/>
      <c r="AC18" s="27"/>
      <c r="AD18" s="27"/>
      <c r="AE18" s="27"/>
      <c r="AF18" s="27"/>
      <c r="AG18" s="27"/>
      <c r="AH18" s="27"/>
      <c r="AI18" s="27"/>
    </row>
    <row r="19" spans="1:35" ht="12" customHeight="1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96"/>
      <c r="M19" s="97"/>
      <c r="N19" s="96"/>
      <c r="O19" s="97"/>
      <c r="P19" s="97"/>
      <c r="Q19" s="96"/>
      <c r="R19" s="188"/>
      <c r="S19" s="188"/>
      <c r="T19" s="189"/>
      <c r="U19" s="27"/>
      <c r="V19" s="94"/>
      <c r="W19" s="94"/>
      <c r="X19" s="94"/>
      <c r="Y19" s="94"/>
      <c r="Z19" s="94"/>
      <c r="AA19" s="94"/>
      <c r="AB19" s="94"/>
      <c r="AC19" s="27"/>
      <c r="AD19" s="27"/>
      <c r="AE19" s="27"/>
      <c r="AF19" s="27"/>
      <c r="AG19" s="27"/>
      <c r="AH19" s="27"/>
      <c r="AI19" s="27"/>
    </row>
    <row r="20" spans="1:35" ht="12" customHeight="1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96"/>
      <c r="M20" s="97"/>
      <c r="N20" s="96"/>
      <c r="O20" s="97"/>
      <c r="P20" s="97"/>
      <c r="Q20" s="96"/>
      <c r="R20" s="188"/>
      <c r="S20" s="188"/>
      <c r="T20" s="189"/>
      <c r="U20" s="27"/>
      <c r="V20" s="94"/>
      <c r="W20" s="94"/>
      <c r="X20" s="94"/>
      <c r="Y20" s="94"/>
      <c r="Z20" s="94"/>
      <c r="AA20" s="94"/>
      <c r="AB20" s="94"/>
      <c r="AC20" s="27"/>
      <c r="AD20" s="27"/>
      <c r="AE20" s="27"/>
      <c r="AF20" s="27"/>
      <c r="AG20" s="27"/>
      <c r="AH20" s="27"/>
      <c r="AI20" s="27"/>
    </row>
    <row r="21" spans="1:35" ht="12" customHeight="1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96"/>
      <c r="M21" s="97"/>
      <c r="N21" s="96"/>
      <c r="O21" s="97"/>
      <c r="P21" s="97"/>
      <c r="Q21" s="96"/>
      <c r="R21" s="188"/>
      <c r="S21" s="188"/>
      <c r="T21" s="189"/>
      <c r="U21" s="27"/>
      <c r="V21" s="94"/>
      <c r="W21" s="94"/>
      <c r="X21" s="94"/>
      <c r="Y21" s="94"/>
      <c r="Z21" s="94"/>
      <c r="AA21" s="94"/>
      <c r="AB21" s="94"/>
      <c r="AC21" s="27"/>
      <c r="AD21" s="27"/>
      <c r="AE21" s="27"/>
      <c r="AF21" s="27"/>
      <c r="AG21" s="27"/>
      <c r="AH21" s="27"/>
      <c r="AI21" s="27"/>
    </row>
    <row r="22" spans="1:35" ht="12" customHeight="1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96"/>
      <c r="M22" s="97"/>
      <c r="N22" s="96"/>
      <c r="O22" s="97"/>
      <c r="P22" s="97"/>
      <c r="Q22" s="96"/>
      <c r="R22" s="188"/>
      <c r="S22" s="188"/>
      <c r="T22" s="189"/>
      <c r="U22" s="27"/>
      <c r="V22" s="94"/>
      <c r="W22" s="94"/>
      <c r="X22" s="94"/>
      <c r="Y22" s="94"/>
      <c r="Z22" s="94"/>
      <c r="AA22" s="94"/>
      <c r="AB22" s="94"/>
      <c r="AC22" s="27"/>
      <c r="AD22" s="27"/>
      <c r="AE22" s="27"/>
      <c r="AF22" s="27"/>
      <c r="AG22" s="27"/>
      <c r="AH22" s="27"/>
      <c r="AI22" s="27"/>
    </row>
    <row r="23" spans="1:35" ht="12" customHeight="1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96"/>
      <c r="M23" s="97"/>
      <c r="N23" s="96"/>
      <c r="O23" s="97"/>
      <c r="P23" s="97"/>
      <c r="Q23" s="96"/>
      <c r="R23" s="188"/>
      <c r="S23" s="188"/>
      <c r="T23" s="189"/>
      <c r="U23" s="27"/>
      <c r="V23" s="94"/>
      <c r="W23" s="94"/>
      <c r="X23" s="94"/>
      <c r="Y23" s="94"/>
      <c r="Z23" s="94"/>
      <c r="AA23" s="94"/>
      <c r="AB23" s="94"/>
      <c r="AC23" s="27"/>
      <c r="AD23" s="27"/>
      <c r="AE23" s="27"/>
      <c r="AF23" s="27"/>
      <c r="AG23" s="27"/>
      <c r="AH23" s="27"/>
      <c r="AI23" s="27"/>
    </row>
    <row r="24" spans="1:35" ht="12" customHeight="1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96"/>
      <c r="M24" s="97"/>
      <c r="N24" s="96"/>
      <c r="O24" s="97"/>
      <c r="P24" s="97"/>
      <c r="Q24" s="96"/>
      <c r="R24" s="188"/>
      <c r="S24" s="188"/>
      <c r="T24" s="189"/>
      <c r="U24" s="27"/>
      <c r="V24" s="94"/>
      <c r="W24" s="94"/>
      <c r="X24" s="94"/>
      <c r="Y24" s="94"/>
      <c r="Z24" s="94"/>
      <c r="AA24" s="94"/>
      <c r="AB24" s="94"/>
      <c r="AC24" s="27"/>
      <c r="AD24" s="27"/>
      <c r="AE24" s="27"/>
      <c r="AF24" s="27"/>
      <c r="AG24" s="27"/>
      <c r="AH24" s="27"/>
      <c r="AI24" s="27"/>
    </row>
    <row r="25" spans="1:35" ht="12" customHeight="1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96"/>
      <c r="M25" s="97"/>
      <c r="N25" s="96"/>
      <c r="O25" s="97"/>
      <c r="P25" s="97"/>
      <c r="Q25" s="96"/>
      <c r="R25" s="188"/>
      <c r="S25" s="188"/>
      <c r="T25" s="189"/>
      <c r="U25" s="27"/>
      <c r="V25" s="94"/>
      <c r="W25" s="94"/>
      <c r="X25" s="94"/>
      <c r="Y25" s="94"/>
      <c r="Z25" s="94"/>
      <c r="AA25" s="94"/>
      <c r="AB25" s="94"/>
      <c r="AC25" s="27"/>
      <c r="AD25" s="27"/>
      <c r="AE25" s="27"/>
      <c r="AF25" s="27"/>
      <c r="AG25" s="27"/>
      <c r="AH25" s="27"/>
      <c r="AI25" s="27"/>
    </row>
    <row r="26" spans="1:35" ht="12" customHeight="1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96"/>
      <c r="M26" s="97"/>
      <c r="N26" s="96"/>
      <c r="O26" s="97"/>
      <c r="P26" s="97"/>
      <c r="Q26" s="96"/>
      <c r="R26" s="188"/>
      <c r="S26" s="188"/>
      <c r="T26" s="189"/>
      <c r="U26" s="27"/>
      <c r="V26" s="94"/>
      <c r="W26" s="94"/>
      <c r="X26" s="94"/>
      <c r="Y26" s="94"/>
      <c r="Z26" s="94"/>
      <c r="AA26" s="94"/>
      <c r="AB26" s="94"/>
      <c r="AC26" s="27"/>
      <c r="AD26" s="27"/>
      <c r="AE26" s="27"/>
      <c r="AF26" s="27"/>
      <c r="AG26" s="27"/>
      <c r="AH26" s="27"/>
      <c r="AI26" s="27"/>
    </row>
    <row r="27" spans="1:35" ht="12" customHeight="1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96"/>
      <c r="M27" s="97"/>
      <c r="N27" s="96"/>
      <c r="O27" s="97"/>
      <c r="P27" s="97"/>
      <c r="Q27" s="96"/>
      <c r="R27" s="188"/>
      <c r="S27" s="188"/>
      <c r="T27" s="189"/>
      <c r="U27" s="27"/>
      <c r="V27" s="94"/>
      <c r="W27" s="94"/>
      <c r="X27" s="94"/>
      <c r="Y27" s="94"/>
      <c r="Z27" s="94"/>
      <c r="AA27" s="94"/>
      <c r="AB27" s="94"/>
      <c r="AC27" s="27"/>
      <c r="AD27" s="27"/>
      <c r="AE27" s="27"/>
      <c r="AF27" s="27"/>
      <c r="AG27" s="27"/>
      <c r="AH27" s="27"/>
      <c r="AI27" s="27"/>
    </row>
    <row r="28" spans="1:35" ht="12" customHeight="1" x14ac:dyDescent="0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96"/>
      <c r="M28" s="97"/>
      <c r="N28" s="96"/>
      <c r="O28" s="97"/>
      <c r="P28" s="97"/>
      <c r="Q28" s="96"/>
      <c r="R28" s="188"/>
      <c r="S28" s="188"/>
      <c r="T28" s="189"/>
      <c r="U28" s="27"/>
      <c r="V28" s="94"/>
      <c r="W28" s="94"/>
      <c r="X28" s="94"/>
      <c r="Y28" s="94"/>
      <c r="Z28" s="94"/>
      <c r="AA28" s="94"/>
      <c r="AB28" s="94"/>
      <c r="AC28" s="27"/>
      <c r="AD28" s="27"/>
      <c r="AE28" s="27"/>
      <c r="AF28" s="27"/>
      <c r="AG28" s="27"/>
      <c r="AH28" s="27"/>
      <c r="AI28" s="27"/>
    </row>
    <row r="29" spans="1:35" ht="12" customHeight="1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96"/>
      <c r="M29" s="97"/>
      <c r="N29" s="96"/>
      <c r="O29" s="97"/>
      <c r="P29" s="97"/>
      <c r="Q29" s="96"/>
      <c r="R29" s="188"/>
      <c r="S29" s="188"/>
      <c r="T29" s="189"/>
      <c r="U29" s="27"/>
      <c r="V29" s="94"/>
      <c r="W29" s="94"/>
      <c r="X29" s="94"/>
      <c r="Y29" s="94"/>
      <c r="Z29" s="94"/>
      <c r="AA29" s="94"/>
      <c r="AB29" s="94"/>
      <c r="AC29" s="27"/>
      <c r="AD29" s="27"/>
      <c r="AE29" s="27"/>
      <c r="AF29" s="27"/>
      <c r="AG29" s="27"/>
      <c r="AH29" s="27"/>
      <c r="AI29" s="27"/>
    </row>
    <row r="30" spans="1:35" ht="12" customHeight="1" x14ac:dyDescent="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96"/>
      <c r="M30" s="97"/>
      <c r="N30" s="96"/>
      <c r="O30" s="97"/>
      <c r="P30" s="97"/>
      <c r="Q30" s="96"/>
      <c r="R30" s="188"/>
      <c r="S30" s="188"/>
      <c r="T30" s="189"/>
      <c r="U30" s="27"/>
      <c r="V30" s="94"/>
      <c r="W30" s="94"/>
      <c r="X30" s="94"/>
      <c r="Y30" s="94"/>
      <c r="Z30" s="94"/>
      <c r="AA30" s="94"/>
      <c r="AB30" s="94"/>
      <c r="AC30" s="27"/>
      <c r="AD30" s="27"/>
      <c r="AE30" s="27"/>
      <c r="AF30" s="27"/>
      <c r="AG30" s="27"/>
      <c r="AH30" s="27"/>
      <c r="AI30" s="27"/>
    </row>
    <row r="31" spans="1:35" ht="12" customHeight="1" x14ac:dyDescent="0.2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96"/>
      <c r="M31" s="97"/>
      <c r="N31" s="96"/>
      <c r="O31" s="97"/>
      <c r="P31" s="97"/>
      <c r="Q31" s="96"/>
      <c r="R31" s="188"/>
      <c r="S31" s="188"/>
      <c r="T31" s="189"/>
      <c r="U31" s="27"/>
      <c r="V31" s="94"/>
      <c r="W31" s="94"/>
      <c r="X31" s="94"/>
      <c r="Y31" s="94"/>
      <c r="Z31" s="94"/>
      <c r="AA31" s="94"/>
      <c r="AB31" s="94"/>
      <c r="AC31" s="27"/>
      <c r="AD31" s="27"/>
      <c r="AE31" s="27"/>
      <c r="AF31" s="27"/>
      <c r="AG31" s="27"/>
      <c r="AH31" s="27"/>
      <c r="AI31" s="27"/>
    </row>
    <row r="32" spans="1:35" ht="12" customHeight="1" x14ac:dyDescent="0.2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96"/>
      <c r="M32" s="97"/>
      <c r="N32" s="96"/>
      <c r="O32" s="97"/>
      <c r="P32" s="97"/>
      <c r="Q32" s="96"/>
      <c r="R32" s="188"/>
      <c r="S32" s="188"/>
      <c r="T32" s="189"/>
      <c r="U32" s="27"/>
      <c r="V32" s="94"/>
      <c r="W32" s="94"/>
      <c r="X32" s="94"/>
      <c r="Y32" s="94"/>
      <c r="Z32" s="94"/>
      <c r="AA32" s="94"/>
      <c r="AB32" s="94"/>
      <c r="AC32" s="27"/>
      <c r="AD32" s="27"/>
      <c r="AE32" s="27"/>
      <c r="AF32" s="27"/>
      <c r="AG32" s="27"/>
      <c r="AH32" s="27"/>
      <c r="AI32" s="27"/>
    </row>
    <row r="33" spans="1:35" ht="12" customHeight="1" x14ac:dyDescent="0.2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96"/>
      <c r="M33" s="97"/>
      <c r="N33" s="96"/>
      <c r="O33" s="97"/>
      <c r="P33" s="97"/>
      <c r="Q33" s="96"/>
      <c r="R33" s="188"/>
      <c r="S33" s="188"/>
      <c r="T33" s="189"/>
      <c r="U33" s="27"/>
      <c r="V33" s="94"/>
      <c r="W33" s="94"/>
      <c r="X33" s="94"/>
      <c r="Y33" s="94"/>
      <c r="Z33" s="94"/>
      <c r="AA33" s="94"/>
      <c r="AB33" s="94"/>
      <c r="AC33" s="27"/>
      <c r="AD33" s="27"/>
      <c r="AE33" s="27"/>
      <c r="AF33" s="27"/>
      <c r="AG33" s="27"/>
      <c r="AH33" s="27"/>
      <c r="AI33" s="27"/>
    </row>
    <row r="34" spans="1:35" ht="12" customHeight="1" x14ac:dyDescent="0.2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96"/>
      <c r="M34" s="97"/>
      <c r="N34" s="96"/>
      <c r="O34" s="97"/>
      <c r="P34" s="97"/>
      <c r="Q34" s="96"/>
      <c r="R34" s="188"/>
      <c r="S34" s="188"/>
      <c r="T34" s="189"/>
      <c r="U34" s="27"/>
      <c r="V34" s="94"/>
      <c r="W34" s="94"/>
      <c r="X34" s="94"/>
      <c r="Y34" s="94"/>
      <c r="Z34" s="94"/>
      <c r="AA34" s="94"/>
      <c r="AB34" s="94"/>
      <c r="AC34" s="27"/>
      <c r="AD34" s="27"/>
      <c r="AE34" s="27"/>
      <c r="AF34" s="27"/>
      <c r="AG34" s="27"/>
      <c r="AH34" s="27"/>
      <c r="AI34" s="27"/>
    </row>
    <row r="35" spans="1:35" ht="12" customHeight="1" x14ac:dyDescent="0.2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96"/>
      <c r="M35" s="97"/>
      <c r="N35" s="96"/>
      <c r="O35" s="97"/>
      <c r="P35" s="97"/>
      <c r="Q35" s="96"/>
      <c r="R35" s="188"/>
      <c r="S35" s="188"/>
      <c r="T35" s="189"/>
      <c r="U35" s="27"/>
      <c r="V35" s="94"/>
      <c r="W35" s="94"/>
      <c r="X35" s="94"/>
      <c r="Y35" s="94"/>
      <c r="Z35" s="94"/>
      <c r="AA35" s="94"/>
      <c r="AB35" s="94"/>
      <c r="AC35" s="27"/>
      <c r="AD35" s="27"/>
      <c r="AE35" s="27"/>
      <c r="AF35" s="27"/>
      <c r="AG35" s="27"/>
      <c r="AH35" s="27"/>
      <c r="AI35" s="27"/>
    </row>
    <row r="36" spans="1:35" ht="12" customHeight="1" x14ac:dyDescent="0.2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96"/>
      <c r="M36" s="97"/>
      <c r="N36" s="96"/>
      <c r="O36" s="97"/>
      <c r="P36" s="97"/>
      <c r="Q36" s="96"/>
      <c r="R36" s="188"/>
      <c r="S36" s="188"/>
      <c r="T36" s="189"/>
      <c r="U36" s="27"/>
      <c r="V36" s="94"/>
      <c r="W36" s="94"/>
      <c r="X36" s="94"/>
      <c r="Y36" s="94"/>
      <c r="Z36" s="94"/>
      <c r="AA36" s="94"/>
      <c r="AB36" s="94"/>
      <c r="AC36" s="27"/>
      <c r="AD36" s="27"/>
      <c r="AE36" s="27"/>
      <c r="AF36" s="27"/>
      <c r="AG36" s="27"/>
      <c r="AH36" s="27"/>
      <c r="AI36" s="27"/>
    </row>
    <row r="37" spans="1:35" ht="12" customHeight="1" x14ac:dyDescent="0.2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96"/>
      <c r="M37" s="97"/>
      <c r="N37" s="96"/>
      <c r="O37" s="97"/>
      <c r="P37" s="97"/>
      <c r="Q37" s="96"/>
      <c r="R37" s="188"/>
      <c r="S37" s="188"/>
      <c r="T37" s="189"/>
      <c r="U37" s="27"/>
      <c r="V37" s="94"/>
      <c r="W37" s="94"/>
      <c r="X37" s="94"/>
      <c r="Y37" s="94"/>
      <c r="Z37" s="94"/>
      <c r="AA37" s="94"/>
      <c r="AB37" s="94"/>
      <c r="AC37" s="27"/>
      <c r="AD37" s="27"/>
      <c r="AE37" s="27"/>
      <c r="AF37" s="27"/>
      <c r="AG37" s="27"/>
      <c r="AH37" s="27"/>
      <c r="AI37" s="27"/>
    </row>
    <row r="38" spans="1:35" ht="12" customHeight="1" x14ac:dyDescent="0.2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96"/>
      <c r="M38" s="97"/>
      <c r="N38" s="96"/>
      <c r="O38" s="97"/>
      <c r="P38" s="97"/>
      <c r="Q38" s="96"/>
      <c r="R38" s="188"/>
      <c r="S38" s="188"/>
      <c r="T38" s="189"/>
      <c r="U38" s="27"/>
      <c r="V38" s="94"/>
      <c r="W38" s="94"/>
      <c r="X38" s="94"/>
      <c r="Y38" s="94"/>
      <c r="Z38" s="94"/>
      <c r="AA38" s="94"/>
      <c r="AB38" s="94"/>
      <c r="AC38" s="27"/>
      <c r="AD38" s="27"/>
      <c r="AE38" s="27"/>
      <c r="AF38" s="27"/>
      <c r="AG38" s="27"/>
      <c r="AH38" s="27"/>
      <c r="AI38" s="27"/>
    </row>
    <row r="39" spans="1:35" ht="12" customHeight="1" x14ac:dyDescent="0.2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96"/>
      <c r="M39" s="97"/>
      <c r="N39" s="96"/>
      <c r="O39" s="97"/>
      <c r="P39" s="97"/>
      <c r="Q39" s="96"/>
      <c r="R39" s="188"/>
      <c r="S39" s="188"/>
      <c r="T39" s="189"/>
      <c r="U39" s="27"/>
      <c r="V39" s="94"/>
      <c r="W39" s="94"/>
      <c r="X39" s="94"/>
      <c r="Y39" s="94"/>
      <c r="Z39" s="94"/>
      <c r="AA39" s="94"/>
      <c r="AB39" s="94"/>
      <c r="AC39" s="27"/>
      <c r="AD39" s="27"/>
      <c r="AE39" s="27"/>
      <c r="AF39" s="27"/>
      <c r="AG39" s="27"/>
      <c r="AH39" s="27"/>
      <c r="AI39" s="27"/>
    </row>
    <row r="40" spans="1:35" ht="12" customHeight="1" x14ac:dyDescent="0.2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96"/>
      <c r="M40" s="97"/>
      <c r="N40" s="96"/>
      <c r="O40" s="97"/>
      <c r="P40" s="97"/>
      <c r="Q40" s="96"/>
      <c r="R40" s="188"/>
      <c r="S40" s="188"/>
      <c r="T40" s="189"/>
      <c r="U40" s="27"/>
      <c r="V40" s="94"/>
      <c r="W40" s="94"/>
      <c r="X40" s="94"/>
      <c r="Y40" s="94"/>
      <c r="Z40" s="94"/>
      <c r="AA40" s="94"/>
      <c r="AB40" s="94"/>
      <c r="AC40" s="27"/>
      <c r="AD40" s="27"/>
      <c r="AE40" s="27"/>
      <c r="AF40" s="27"/>
      <c r="AG40" s="27"/>
      <c r="AH40" s="27"/>
      <c r="AI40" s="27"/>
    </row>
    <row r="41" spans="1:35" ht="12" customHeight="1" x14ac:dyDescent="0.2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96"/>
      <c r="M41" s="97"/>
      <c r="N41" s="96"/>
      <c r="O41" s="97"/>
      <c r="P41" s="97"/>
      <c r="Q41" s="96"/>
      <c r="R41" s="188"/>
      <c r="S41" s="188"/>
      <c r="T41" s="189"/>
      <c r="U41" s="27"/>
      <c r="V41" s="94"/>
      <c r="W41" s="94"/>
      <c r="X41" s="94"/>
      <c r="Y41" s="94"/>
      <c r="Z41" s="94"/>
      <c r="AA41" s="94"/>
      <c r="AB41" s="94"/>
      <c r="AC41" s="27"/>
      <c r="AD41" s="27"/>
      <c r="AE41" s="27"/>
      <c r="AF41" s="27"/>
      <c r="AG41" s="27"/>
      <c r="AH41" s="27"/>
      <c r="AI41" s="27"/>
    </row>
    <row r="42" spans="1:35" ht="12" customHeight="1" x14ac:dyDescent="0.2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96"/>
      <c r="M42" s="97"/>
      <c r="N42" s="96"/>
      <c r="O42" s="97"/>
      <c r="P42" s="97"/>
      <c r="Q42" s="96"/>
      <c r="R42" s="188"/>
      <c r="S42" s="188"/>
      <c r="T42" s="189"/>
      <c r="U42" s="27"/>
      <c r="V42" s="94"/>
      <c r="W42" s="94"/>
      <c r="X42" s="94"/>
      <c r="Y42" s="94"/>
      <c r="Z42" s="94"/>
      <c r="AA42" s="94"/>
      <c r="AB42" s="94"/>
      <c r="AC42" s="27"/>
      <c r="AD42" s="27"/>
      <c r="AE42" s="27"/>
      <c r="AF42" s="27"/>
      <c r="AG42" s="27"/>
      <c r="AH42" s="27"/>
      <c r="AI42" s="27"/>
    </row>
    <row r="43" spans="1:35" ht="12" customHeight="1" x14ac:dyDescent="0.2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96"/>
      <c r="M43" s="97"/>
      <c r="N43" s="96"/>
      <c r="O43" s="97"/>
      <c r="P43" s="97"/>
      <c r="Q43" s="96"/>
      <c r="R43" s="188"/>
      <c r="S43" s="188"/>
      <c r="T43" s="189"/>
      <c r="U43" s="27"/>
      <c r="V43" s="94"/>
      <c r="W43" s="94"/>
      <c r="X43" s="94"/>
      <c r="Y43" s="94"/>
      <c r="Z43" s="94"/>
      <c r="AA43" s="94"/>
      <c r="AB43" s="94"/>
      <c r="AC43" s="27"/>
      <c r="AD43" s="27"/>
      <c r="AE43" s="27"/>
      <c r="AF43" s="27"/>
      <c r="AG43" s="27"/>
      <c r="AH43" s="27"/>
      <c r="AI43" s="27"/>
    </row>
    <row r="44" spans="1:35" ht="12" customHeight="1" x14ac:dyDescent="0.2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96"/>
      <c r="M44" s="97"/>
      <c r="N44" s="96"/>
      <c r="O44" s="97"/>
      <c r="P44" s="97"/>
      <c r="Q44" s="96"/>
      <c r="R44" s="188"/>
      <c r="S44" s="188"/>
      <c r="T44" s="189"/>
      <c r="U44" s="27"/>
      <c r="V44" s="94"/>
      <c r="W44" s="94"/>
      <c r="X44" s="94"/>
      <c r="Y44" s="94"/>
      <c r="Z44" s="94"/>
      <c r="AA44" s="94"/>
      <c r="AB44" s="94"/>
      <c r="AC44" s="27"/>
      <c r="AD44" s="27"/>
      <c r="AE44" s="27"/>
      <c r="AF44" s="27"/>
      <c r="AG44" s="27"/>
      <c r="AH44" s="27"/>
      <c r="AI44" s="27"/>
    </row>
    <row r="45" spans="1:35" ht="12" customHeight="1" x14ac:dyDescent="0.2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96"/>
      <c r="M45" s="97"/>
      <c r="N45" s="96"/>
      <c r="O45" s="97"/>
      <c r="P45" s="97"/>
      <c r="Q45" s="96"/>
      <c r="R45" s="188"/>
      <c r="S45" s="188"/>
      <c r="T45" s="189"/>
      <c r="U45" s="27"/>
      <c r="V45" s="94"/>
      <c r="W45" s="94"/>
      <c r="X45" s="94"/>
      <c r="Y45" s="94"/>
      <c r="Z45" s="94"/>
      <c r="AA45" s="94"/>
      <c r="AB45" s="94"/>
      <c r="AC45" s="27"/>
      <c r="AD45" s="27"/>
      <c r="AE45" s="27"/>
      <c r="AF45" s="27"/>
      <c r="AG45" s="27"/>
      <c r="AH45" s="27"/>
      <c r="AI45" s="27"/>
    </row>
    <row r="46" spans="1:35" ht="12" customHeight="1" x14ac:dyDescent="0.2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96"/>
      <c r="M46" s="97"/>
      <c r="N46" s="96"/>
      <c r="O46" s="97"/>
      <c r="P46" s="97"/>
      <c r="Q46" s="96"/>
      <c r="R46" s="188"/>
      <c r="S46" s="188"/>
      <c r="T46" s="189"/>
      <c r="U46" s="27"/>
      <c r="V46" s="94"/>
      <c r="W46" s="94"/>
      <c r="X46" s="94"/>
      <c r="Y46" s="94"/>
      <c r="Z46" s="94"/>
      <c r="AA46" s="94"/>
      <c r="AB46" s="94"/>
      <c r="AC46" s="27"/>
      <c r="AD46" s="27"/>
      <c r="AE46" s="27"/>
      <c r="AF46" s="27"/>
      <c r="AG46" s="27"/>
      <c r="AH46" s="27"/>
      <c r="AI46" s="27"/>
    </row>
    <row r="47" spans="1:35" ht="12" customHeight="1" x14ac:dyDescent="0.2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96"/>
      <c r="M47" s="97"/>
      <c r="N47" s="96"/>
      <c r="O47" s="97"/>
      <c r="P47" s="97"/>
      <c r="Q47" s="96"/>
      <c r="R47" s="188"/>
      <c r="S47" s="188"/>
      <c r="T47" s="189"/>
      <c r="U47" s="27"/>
      <c r="V47" s="94"/>
      <c r="W47" s="94"/>
      <c r="X47" s="94"/>
      <c r="Y47" s="94"/>
      <c r="Z47" s="94"/>
      <c r="AA47" s="94"/>
      <c r="AB47" s="94"/>
      <c r="AC47" s="27"/>
      <c r="AD47" s="27"/>
      <c r="AE47" s="27"/>
      <c r="AF47" s="27"/>
      <c r="AG47" s="27"/>
      <c r="AH47" s="27"/>
      <c r="AI47" s="27"/>
    </row>
    <row r="48" spans="1:35" ht="12" customHeight="1" x14ac:dyDescent="0.2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96"/>
      <c r="M48" s="97"/>
      <c r="N48" s="96"/>
      <c r="O48" s="97"/>
      <c r="P48" s="97"/>
      <c r="Q48" s="96"/>
      <c r="R48" s="188"/>
      <c r="S48" s="188"/>
      <c r="T48" s="189"/>
      <c r="U48" s="27"/>
      <c r="V48" s="94"/>
      <c r="W48" s="94"/>
      <c r="X48" s="94"/>
      <c r="Y48" s="94"/>
      <c r="Z48" s="94"/>
      <c r="AA48" s="94"/>
      <c r="AB48" s="94"/>
      <c r="AC48" s="27"/>
      <c r="AD48" s="27"/>
      <c r="AE48" s="27"/>
      <c r="AF48" s="27"/>
      <c r="AG48" s="27"/>
      <c r="AH48" s="27"/>
      <c r="AI48" s="27"/>
    </row>
    <row r="49" spans="1:35" ht="12" customHeight="1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96"/>
      <c r="M49" s="97"/>
      <c r="N49" s="96"/>
      <c r="O49" s="97"/>
      <c r="P49" s="97"/>
      <c r="Q49" s="96"/>
      <c r="R49" s="188"/>
      <c r="S49" s="188"/>
      <c r="T49" s="189"/>
      <c r="U49" s="27"/>
      <c r="V49" s="94"/>
      <c r="W49" s="94"/>
      <c r="X49" s="94"/>
      <c r="Y49" s="94"/>
      <c r="Z49" s="94"/>
      <c r="AA49" s="94"/>
      <c r="AB49" s="94"/>
      <c r="AC49" s="27"/>
      <c r="AD49" s="27"/>
      <c r="AE49" s="27"/>
      <c r="AF49" s="27"/>
      <c r="AG49" s="27"/>
      <c r="AH49" s="27"/>
      <c r="AI49" s="27"/>
    </row>
    <row r="50" spans="1:35" ht="12" customHeight="1" x14ac:dyDescent="0.2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96"/>
      <c r="M50" s="97"/>
      <c r="N50" s="96"/>
      <c r="O50" s="97"/>
      <c r="P50" s="97"/>
      <c r="Q50" s="96"/>
      <c r="R50" s="188"/>
      <c r="S50" s="188"/>
      <c r="T50" s="189"/>
      <c r="U50" s="27"/>
      <c r="V50" s="94"/>
      <c r="W50" s="94"/>
      <c r="X50" s="94"/>
      <c r="Y50" s="94"/>
      <c r="Z50" s="94"/>
      <c r="AA50" s="94"/>
      <c r="AB50" s="94"/>
      <c r="AC50" s="27"/>
      <c r="AD50" s="27"/>
      <c r="AE50" s="27"/>
      <c r="AF50" s="27"/>
      <c r="AG50" s="27"/>
      <c r="AH50" s="27"/>
      <c r="AI50" s="27"/>
    </row>
    <row r="51" spans="1:35" ht="12" customHeight="1" x14ac:dyDescent="0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96"/>
      <c r="M51" s="97"/>
      <c r="N51" s="96"/>
      <c r="O51" s="97"/>
      <c r="P51" s="97"/>
      <c r="Q51" s="96"/>
      <c r="R51" s="188"/>
      <c r="S51" s="188"/>
      <c r="T51" s="189"/>
      <c r="U51" s="27"/>
      <c r="V51" s="94"/>
      <c r="W51" s="94"/>
      <c r="X51" s="94"/>
      <c r="Y51" s="94"/>
      <c r="Z51" s="94"/>
      <c r="AA51" s="94"/>
      <c r="AB51" s="94"/>
      <c r="AC51" s="27"/>
      <c r="AD51" s="27"/>
      <c r="AE51" s="27"/>
      <c r="AF51" s="27"/>
      <c r="AG51" s="27"/>
      <c r="AH51" s="27"/>
      <c r="AI51" s="27"/>
    </row>
    <row r="52" spans="1:35" ht="12" customHeight="1" x14ac:dyDescent="0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96"/>
      <c r="M52" s="97"/>
      <c r="N52" s="96"/>
      <c r="O52" s="97"/>
      <c r="P52" s="97"/>
      <c r="Q52" s="96"/>
      <c r="R52" s="188"/>
      <c r="S52" s="188"/>
      <c r="T52" s="189"/>
      <c r="U52" s="27"/>
      <c r="V52" s="94"/>
      <c r="W52" s="94"/>
      <c r="X52" s="94"/>
      <c r="Y52" s="94"/>
      <c r="Z52" s="94"/>
      <c r="AA52" s="94"/>
      <c r="AB52" s="94"/>
      <c r="AC52" s="27"/>
      <c r="AD52" s="27"/>
      <c r="AE52" s="27"/>
      <c r="AF52" s="27"/>
      <c r="AG52" s="27"/>
      <c r="AH52" s="27"/>
      <c r="AI52" s="27"/>
    </row>
    <row r="53" spans="1:35" ht="12" customHeight="1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96"/>
      <c r="M53" s="97"/>
      <c r="N53" s="96"/>
      <c r="O53" s="97"/>
      <c r="P53" s="97"/>
      <c r="Q53" s="96"/>
      <c r="R53" s="188"/>
      <c r="S53" s="188"/>
      <c r="T53" s="189"/>
      <c r="U53" s="27"/>
      <c r="V53" s="94"/>
      <c r="W53" s="94"/>
      <c r="X53" s="94"/>
      <c r="Y53" s="94"/>
      <c r="Z53" s="94"/>
      <c r="AA53" s="94"/>
      <c r="AB53" s="94"/>
      <c r="AC53" s="27"/>
      <c r="AD53" s="27"/>
      <c r="AE53" s="27"/>
      <c r="AF53" s="27"/>
      <c r="AG53" s="27"/>
      <c r="AH53" s="27"/>
      <c r="AI53" s="27"/>
    </row>
    <row r="54" spans="1:35" ht="12" customHeight="1" x14ac:dyDescent="0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96"/>
      <c r="M54" s="97"/>
      <c r="N54" s="96"/>
      <c r="O54" s="97"/>
      <c r="P54" s="97"/>
      <c r="Q54" s="96"/>
      <c r="R54" s="188"/>
      <c r="S54" s="188"/>
      <c r="T54" s="189"/>
      <c r="U54" s="27"/>
      <c r="V54" s="94"/>
      <c r="W54" s="94"/>
      <c r="X54" s="94"/>
      <c r="Y54" s="94"/>
      <c r="Z54" s="94"/>
      <c r="AA54" s="94"/>
      <c r="AB54" s="94"/>
      <c r="AC54" s="27"/>
      <c r="AD54" s="27"/>
      <c r="AE54" s="27"/>
      <c r="AF54" s="27"/>
      <c r="AG54" s="27"/>
      <c r="AH54" s="27"/>
      <c r="AI54" s="27"/>
    </row>
    <row r="55" spans="1:35" ht="12" customHeight="1" x14ac:dyDescent="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96"/>
      <c r="M55" s="97"/>
      <c r="N55" s="96"/>
      <c r="O55" s="97"/>
      <c r="P55" s="97"/>
      <c r="Q55" s="96"/>
      <c r="R55" s="188"/>
      <c r="S55" s="188"/>
      <c r="T55" s="189"/>
      <c r="U55" s="27"/>
      <c r="V55" s="94"/>
      <c r="W55" s="94"/>
      <c r="X55" s="94"/>
      <c r="Y55" s="94"/>
      <c r="Z55" s="94"/>
      <c r="AA55" s="94"/>
      <c r="AB55" s="94"/>
      <c r="AC55" s="27"/>
      <c r="AD55" s="27"/>
      <c r="AE55" s="27"/>
      <c r="AF55" s="27"/>
      <c r="AG55" s="27"/>
      <c r="AH55" s="27"/>
      <c r="AI55" s="27"/>
    </row>
    <row r="56" spans="1:35" ht="12" customHeight="1" x14ac:dyDescent="0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96"/>
      <c r="M56" s="97"/>
      <c r="N56" s="96"/>
      <c r="O56" s="97"/>
      <c r="P56" s="97"/>
      <c r="Q56" s="96"/>
      <c r="R56" s="188"/>
      <c r="S56" s="188"/>
      <c r="T56" s="189"/>
      <c r="U56" s="27"/>
      <c r="V56" s="94"/>
      <c r="W56" s="94"/>
      <c r="X56" s="94"/>
      <c r="Y56" s="94"/>
      <c r="Z56" s="94"/>
      <c r="AA56" s="94"/>
      <c r="AB56" s="94"/>
      <c r="AC56" s="27"/>
      <c r="AD56" s="27"/>
      <c r="AE56" s="27"/>
      <c r="AF56" s="27"/>
      <c r="AG56" s="27"/>
      <c r="AH56" s="27"/>
      <c r="AI56" s="27"/>
    </row>
    <row r="57" spans="1:35" ht="12" customHeight="1" x14ac:dyDescent="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96"/>
      <c r="M57" s="97"/>
      <c r="N57" s="96"/>
      <c r="O57" s="97"/>
      <c r="P57" s="97"/>
      <c r="Q57" s="96"/>
      <c r="R57" s="188"/>
      <c r="S57" s="188"/>
      <c r="T57" s="189"/>
      <c r="U57" s="27"/>
      <c r="V57" s="94"/>
      <c r="W57" s="94"/>
      <c r="X57" s="94"/>
      <c r="Y57" s="94"/>
      <c r="Z57" s="94"/>
      <c r="AA57" s="94"/>
      <c r="AB57" s="94"/>
      <c r="AC57" s="27"/>
      <c r="AD57" s="27"/>
      <c r="AE57" s="27"/>
      <c r="AF57" s="27"/>
      <c r="AG57" s="27"/>
      <c r="AH57" s="27"/>
      <c r="AI57" s="27"/>
    </row>
    <row r="58" spans="1:35" ht="12" customHeight="1" x14ac:dyDescent="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96"/>
      <c r="M58" s="97"/>
      <c r="N58" s="96"/>
      <c r="O58" s="97"/>
      <c r="P58" s="97"/>
      <c r="Q58" s="96"/>
      <c r="R58" s="188"/>
      <c r="S58" s="188"/>
      <c r="T58" s="189"/>
      <c r="U58" s="27"/>
      <c r="V58" s="94"/>
      <c r="W58" s="94"/>
      <c r="X58" s="94"/>
      <c r="Y58" s="94"/>
      <c r="Z58" s="94"/>
      <c r="AA58" s="94"/>
      <c r="AB58" s="94"/>
      <c r="AC58" s="27"/>
      <c r="AD58" s="27"/>
      <c r="AE58" s="27"/>
      <c r="AF58" s="27"/>
      <c r="AG58" s="27"/>
      <c r="AH58" s="27"/>
      <c r="AI58" s="27"/>
    </row>
    <row r="59" spans="1:35" ht="12" customHeight="1" x14ac:dyDescent="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96"/>
      <c r="M59" s="97"/>
      <c r="N59" s="96"/>
      <c r="O59" s="97"/>
      <c r="P59" s="97"/>
      <c r="Q59" s="96"/>
      <c r="R59" s="188"/>
      <c r="S59" s="188"/>
      <c r="T59" s="189"/>
      <c r="U59" s="27"/>
      <c r="V59" s="94"/>
      <c r="W59" s="94"/>
      <c r="X59" s="94"/>
      <c r="Y59" s="94"/>
      <c r="Z59" s="94"/>
      <c r="AA59" s="94"/>
      <c r="AB59" s="94"/>
      <c r="AC59" s="27"/>
      <c r="AD59" s="27"/>
      <c r="AE59" s="27"/>
      <c r="AF59" s="27"/>
      <c r="AG59" s="27"/>
      <c r="AH59" s="27"/>
      <c r="AI59" s="27"/>
    </row>
    <row r="60" spans="1:35" ht="12" customHeight="1" x14ac:dyDescent="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96"/>
      <c r="M60" s="97"/>
      <c r="N60" s="96"/>
      <c r="O60" s="97"/>
      <c r="P60" s="97"/>
      <c r="Q60" s="96"/>
      <c r="R60" s="188"/>
      <c r="S60" s="188"/>
      <c r="T60" s="189"/>
      <c r="U60" s="27"/>
      <c r="V60" s="94"/>
      <c r="W60" s="94"/>
      <c r="X60" s="94"/>
      <c r="Y60" s="94"/>
      <c r="Z60" s="94"/>
      <c r="AA60" s="94"/>
      <c r="AB60" s="94"/>
      <c r="AC60" s="27"/>
      <c r="AD60" s="27"/>
      <c r="AE60" s="27"/>
      <c r="AF60" s="27"/>
      <c r="AG60" s="27"/>
      <c r="AH60" s="27"/>
      <c r="AI60" s="27"/>
    </row>
    <row r="61" spans="1:35" ht="12" customHeight="1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96"/>
      <c r="M61" s="97"/>
      <c r="N61" s="96"/>
      <c r="O61" s="97"/>
      <c r="P61" s="97"/>
      <c r="Q61" s="96"/>
      <c r="R61" s="188"/>
      <c r="S61" s="188"/>
      <c r="T61" s="189"/>
      <c r="U61" s="27"/>
      <c r="V61" s="94"/>
      <c r="W61" s="94"/>
      <c r="X61" s="94"/>
      <c r="Y61" s="94"/>
      <c r="Z61" s="94"/>
      <c r="AA61" s="94"/>
      <c r="AB61" s="94"/>
      <c r="AC61" s="27"/>
      <c r="AD61" s="27"/>
      <c r="AE61" s="27"/>
      <c r="AF61" s="27"/>
      <c r="AG61" s="27"/>
      <c r="AH61" s="27"/>
      <c r="AI61" s="27"/>
    </row>
    <row r="62" spans="1:35" ht="12" customHeight="1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96"/>
      <c r="M62" s="97"/>
      <c r="N62" s="96"/>
      <c r="O62" s="97"/>
      <c r="P62" s="97"/>
      <c r="Q62" s="96"/>
      <c r="R62" s="188"/>
      <c r="S62" s="188"/>
      <c r="T62" s="189"/>
      <c r="U62" s="27"/>
      <c r="V62" s="94"/>
      <c r="W62" s="94"/>
      <c r="X62" s="94"/>
      <c r="Y62" s="94"/>
      <c r="Z62" s="94"/>
      <c r="AA62" s="94"/>
      <c r="AB62" s="94"/>
      <c r="AC62" s="27"/>
      <c r="AD62" s="27"/>
      <c r="AE62" s="27"/>
      <c r="AF62" s="27"/>
      <c r="AG62" s="27"/>
      <c r="AH62" s="27"/>
      <c r="AI62" s="27"/>
    </row>
    <row r="63" spans="1:35" ht="12" customHeight="1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96"/>
      <c r="M63" s="97"/>
      <c r="N63" s="96"/>
      <c r="O63" s="97"/>
      <c r="P63" s="97"/>
      <c r="Q63" s="96"/>
      <c r="R63" s="188"/>
      <c r="S63" s="188"/>
      <c r="T63" s="189"/>
      <c r="U63" s="27"/>
      <c r="V63" s="94"/>
      <c r="W63" s="94"/>
      <c r="X63" s="94"/>
      <c r="Y63" s="94"/>
      <c r="Z63" s="94"/>
      <c r="AA63" s="94"/>
      <c r="AB63" s="94"/>
      <c r="AC63" s="27"/>
      <c r="AD63" s="27"/>
      <c r="AE63" s="27"/>
      <c r="AF63" s="27"/>
      <c r="AG63" s="27"/>
      <c r="AH63" s="27"/>
      <c r="AI63" s="27"/>
    </row>
    <row r="64" spans="1:35" ht="12" customHeight="1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96"/>
      <c r="M64" s="97"/>
      <c r="N64" s="96"/>
      <c r="O64" s="97"/>
      <c r="P64" s="97"/>
      <c r="Q64" s="96"/>
      <c r="R64" s="188"/>
      <c r="S64" s="188"/>
      <c r="T64" s="189"/>
      <c r="U64" s="27"/>
      <c r="V64" s="94"/>
      <c r="W64" s="94"/>
      <c r="X64" s="94"/>
      <c r="Y64" s="94"/>
      <c r="Z64" s="94"/>
      <c r="AA64" s="94"/>
      <c r="AB64" s="94"/>
      <c r="AC64" s="27"/>
      <c r="AD64" s="27"/>
      <c r="AE64" s="27"/>
      <c r="AF64" s="27"/>
      <c r="AG64" s="27"/>
      <c r="AH64" s="27"/>
      <c r="AI64" s="27"/>
    </row>
    <row r="65" spans="1:35" ht="12" customHeight="1" x14ac:dyDescent="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96"/>
      <c r="M65" s="97"/>
      <c r="N65" s="96"/>
      <c r="O65" s="97"/>
      <c r="P65" s="97"/>
      <c r="Q65" s="96"/>
      <c r="R65" s="188"/>
      <c r="S65" s="188"/>
      <c r="T65" s="189"/>
      <c r="U65" s="27"/>
      <c r="V65" s="94"/>
      <c r="W65" s="94"/>
      <c r="X65" s="94"/>
      <c r="Y65" s="94"/>
      <c r="Z65" s="94"/>
      <c r="AA65" s="94"/>
      <c r="AB65" s="94"/>
      <c r="AC65" s="27"/>
      <c r="AD65" s="27"/>
      <c r="AE65" s="27"/>
      <c r="AF65" s="27"/>
      <c r="AG65" s="27"/>
      <c r="AH65" s="27"/>
      <c r="AI65" s="27"/>
    </row>
    <row r="66" spans="1:35" ht="12" customHeight="1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96"/>
      <c r="M66" s="97"/>
      <c r="N66" s="96"/>
      <c r="O66" s="97"/>
      <c r="P66" s="97"/>
      <c r="Q66" s="96"/>
      <c r="R66" s="188"/>
      <c r="S66" s="188"/>
      <c r="T66" s="189"/>
      <c r="U66" s="27"/>
      <c r="V66" s="94"/>
      <c r="W66" s="94"/>
      <c r="X66" s="94"/>
      <c r="Y66" s="94"/>
      <c r="Z66" s="94"/>
      <c r="AA66" s="94"/>
      <c r="AB66" s="94"/>
      <c r="AC66" s="27"/>
      <c r="AD66" s="27"/>
      <c r="AE66" s="27"/>
      <c r="AF66" s="27"/>
      <c r="AG66" s="27"/>
      <c r="AH66" s="27"/>
      <c r="AI66" s="27"/>
    </row>
    <row r="67" spans="1:35" ht="12" customHeight="1" x14ac:dyDescent="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96"/>
      <c r="M67" s="97"/>
      <c r="N67" s="96"/>
      <c r="O67" s="97"/>
      <c r="P67" s="97"/>
      <c r="Q67" s="96"/>
      <c r="R67" s="188"/>
      <c r="S67" s="188"/>
      <c r="T67" s="189"/>
      <c r="U67" s="27"/>
      <c r="V67" s="94"/>
      <c r="W67" s="94"/>
      <c r="X67" s="94"/>
      <c r="Y67" s="94"/>
      <c r="Z67" s="94"/>
      <c r="AA67" s="94"/>
      <c r="AB67" s="94"/>
      <c r="AC67" s="27"/>
      <c r="AD67" s="27"/>
      <c r="AE67" s="27"/>
      <c r="AF67" s="27"/>
      <c r="AG67" s="27"/>
      <c r="AH67" s="27"/>
      <c r="AI67" s="27"/>
    </row>
    <row r="68" spans="1:35" ht="12" customHeight="1" x14ac:dyDescent="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96"/>
      <c r="M68" s="97"/>
      <c r="N68" s="96"/>
      <c r="O68" s="97"/>
      <c r="P68" s="97"/>
      <c r="Q68" s="96"/>
      <c r="R68" s="188"/>
      <c r="S68" s="188"/>
      <c r="T68" s="189"/>
      <c r="U68" s="27"/>
      <c r="V68" s="94"/>
      <c r="W68" s="94"/>
      <c r="X68" s="94"/>
      <c r="Y68" s="94"/>
      <c r="Z68" s="94"/>
      <c r="AA68" s="94"/>
      <c r="AB68" s="94"/>
      <c r="AC68" s="27"/>
      <c r="AD68" s="27"/>
      <c r="AE68" s="27"/>
      <c r="AF68" s="27"/>
      <c r="AG68" s="27"/>
      <c r="AH68" s="27"/>
      <c r="AI68" s="27"/>
    </row>
    <row r="69" spans="1:35" ht="12" customHeight="1" x14ac:dyDescent="0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96"/>
      <c r="M69" s="97"/>
      <c r="N69" s="96"/>
      <c r="O69" s="97"/>
      <c r="P69" s="97"/>
      <c r="Q69" s="96"/>
      <c r="R69" s="188"/>
      <c r="S69" s="188"/>
      <c r="T69" s="189"/>
      <c r="U69" s="27"/>
      <c r="V69" s="94"/>
      <c r="W69" s="94"/>
      <c r="X69" s="94"/>
      <c r="Y69" s="94"/>
      <c r="Z69" s="94"/>
      <c r="AA69" s="94"/>
      <c r="AB69" s="94"/>
      <c r="AC69" s="27"/>
      <c r="AD69" s="27"/>
      <c r="AE69" s="27"/>
      <c r="AF69" s="27"/>
      <c r="AG69" s="27"/>
      <c r="AH69" s="27"/>
      <c r="AI69" s="27"/>
    </row>
    <row r="70" spans="1:35" ht="12" customHeight="1" x14ac:dyDescent="0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96"/>
      <c r="M70" s="97"/>
      <c r="N70" s="96"/>
      <c r="O70" s="97"/>
      <c r="P70" s="97"/>
      <c r="Q70" s="96"/>
      <c r="R70" s="188"/>
      <c r="S70" s="188"/>
      <c r="T70" s="189"/>
      <c r="U70" s="27"/>
      <c r="V70" s="94"/>
      <c r="W70" s="94"/>
      <c r="X70" s="94"/>
      <c r="Y70" s="94"/>
      <c r="Z70" s="94"/>
      <c r="AA70" s="94"/>
      <c r="AB70" s="94"/>
      <c r="AC70" s="27"/>
      <c r="AD70" s="27"/>
      <c r="AE70" s="27"/>
      <c r="AF70" s="27"/>
      <c r="AG70" s="27"/>
      <c r="AH70" s="27"/>
      <c r="AI70" s="27"/>
    </row>
    <row r="71" spans="1:35" ht="12" customHeight="1" x14ac:dyDescent="0.2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96"/>
      <c r="M71" s="97"/>
      <c r="N71" s="96"/>
      <c r="O71" s="97"/>
      <c r="P71" s="97"/>
      <c r="Q71" s="96"/>
      <c r="R71" s="188"/>
      <c r="S71" s="188"/>
      <c r="T71" s="189"/>
      <c r="U71" s="27"/>
      <c r="V71" s="94"/>
      <c r="W71" s="94"/>
      <c r="X71" s="94"/>
      <c r="Y71" s="94"/>
      <c r="Z71" s="94"/>
      <c r="AA71" s="94"/>
      <c r="AB71" s="94"/>
      <c r="AC71" s="27"/>
      <c r="AD71" s="27"/>
      <c r="AE71" s="27"/>
      <c r="AF71" s="27"/>
      <c r="AG71" s="27"/>
      <c r="AH71" s="27"/>
      <c r="AI71" s="27"/>
    </row>
    <row r="72" spans="1:35" ht="12" customHeight="1" x14ac:dyDescent="0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96"/>
      <c r="M72" s="97"/>
      <c r="N72" s="96"/>
      <c r="O72" s="97"/>
      <c r="P72" s="97"/>
      <c r="Q72" s="96"/>
      <c r="R72" s="188"/>
      <c r="S72" s="188"/>
      <c r="T72" s="189"/>
      <c r="U72" s="27"/>
      <c r="V72" s="94"/>
      <c r="W72" s="94"/>
      <c r="X72" s="94"/>
      <c r="Y72" s="94"/>
      <c r="Z72" s="94"/>
      <c r="AA72" s="94"/>
      <c r="AB72" s="94"/>
      <c r="AC72" s="27"/>
      <c r="AD72" s="27"/>
      <c r="AE72" s="27"/>
      <c r="AF72" s="27"/>
      <c r="AG72" s="27"/>
      <c r="AH72" s="27"/>
      <c r="AI72" s="27"/>
    </row>
    <row r="73" spans="1:35" ht="12" customHeight="1" x14ac:dyDescent="0.2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96"/>
      <c r="M73" s="97"/>
      <c r="N73" s="96"/>
      <c r="O73" s="97"/>
      <c r="P73" s="97"/>
      <c r="Q73" s="96"/>
      <c r="R73" s="188"/>
      <c r="S73" s="188"/>
      <c r="T73" s="189"/>
      <c r="U73" s="27"/>
      <c r="V73" s="94"/>
      <c r="W73" s="94"/>
      <c r="X73" s="94"/>
      <c r="Y73" s="94"/>
      <c r="Z73" s="94"/>
      <c r="AA73" s="94"/>
      <c r="AB73" s="94"/>
      <c r="AC73" s="27"/>
      <c r="AD73" s="27"/>
      <c r="AE73" s="27"/>
      <c r="AF73" s="27"/>
      <c r="AG73" s="27"/>
      <c r="AH73" s="27"/>
      <c r="AI73" s="27"/>
    </row>
    <row r="74" spans="1:35" ht="12" customHeight="1" x14ac:dyDescent="0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96"/>
      <c r="M74" s="97"/>
      <c r="N74" s="96"/>
      <c r="O74" s="97"/>
      <c r="P74" s="97"/>
      <c r="Q74" s="96"/>
      <c r="R74" s="188"/>
      <c r="S74" s="188"/>
      <c r="T74" s="189"/>
      <c r="U74" s="27"/>
      <c r="V74" s="94"/>
      <c r="W74" s="94"/>
      <c r="X74" s="94"/>
      <c r="Y74" s="94"/>
      <c r="Z74" s="94"/>
      <c r="AA74" s="94"/>
      <c r="AB74" s="94"/>
      <c r="AC74" s="27"/>
      <c r="AD74" s="27"/>
      <c r="AE74" s="27"/>
      <c r="AF74" s="27"/>
      <c r="AG74" s="27"/>
      <c r="AH74" s="27"/>
      <c r="AI74" s="27"/>
    </row>
    <row r="75" spans="1:35" ht="12" customHeight="1" x14ac:dyDescent="0.2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96"/>
      <c r="M75" s="97"/>
      <c r="N75" s="96"/>
      <c r="O75" s="97"/>
      <c r="P75" s="97"/>
      <c r="Q75" s="96"/>
      <c r="R75" s="188"/>
      <c r="S75" s="188"/>
      <c r="T75" s="189"/>
      <c r="U75" s="27"/>
      <c r="V75" s="94"/>
      <c r="W75" s="94"/>
      <c r="X75" s="94"/>
      <c r="Y75" s="94"/>
      <c r="Z75" s="94"/>
      <c r="AA75" s="94"/>
      <c r="AB75" s="94"/>
      <c r="AC75" s="27"/>
      <c r="AD75" s="27"/>
      <c r="AE75" s="27"/>
      <c r="AF75" s="27"/>
      <c r="AG75" s="27"/>
      <c r="AH75" s="27"/>
      <c r="AI75" s="27"/>
    </row>
    <row r="76" spans="1:35" ht="12" customHeight="1" x14ac:dyDescent="0.2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96"/>
      <c r="M76" s="97"/>
      <c r="N76" s="96"/>
      <c r="O76" s="97"/>
      <c r="P76" s="97"/>
      <c r="Q76" s="96"/>
      <c r="R76" s="188"/>
      <c r="S76" s="188"/>
      <c r="T76" s="189"/>
      <c r="U76" s="27"/>
      <c r="V76" s="94"/>
      <c r="W76" s="94"/>
      <c r="X76" s="94"/>
      <c r="Y76" s="94"/>
      <c r="Z76" s="94"/>
      <c r="AA76" s="94"/>
      <c r="AB76" s="94"/>
      <c r="AC76" s="27"/>
      <c r="AD76" s="27"/>
      <c r="AE76" s="27"/>
      <c r="AF76" s="27"/>
      <c r="AG76" s="27"/>
      <c r="AH76" s="27"/>
      <c r="AI76" s="27"/>
    </row>
    <row r="77" spans="1:35" ht="12" customHeight="1" x14ac:dyDescent="0.2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96"/>
      <c r="M77" s="97"/>
      <c r="N77" s="96"/>
      <c r="O77" s="97"/>
      <c r="P77" s="97"/>
      <c r="Q77" s="96"/>
      <c r="R77" s="188"/>
      <c r="S77" s="188"/>
      <c r="T77" s="189"/>
      <c r="U77" s="27"/>
      <c r="V77" s="94"/>
      <c r="W77" s="94"/>
      <c r="X77" s="94"/>
      <c r="Y77" s="94"/>
      <c r="Z77" s="94"/>
      <c r="AA77" s="94"/>
      <c r="AB77" s="94"/>
      <c r="AC77" s="27"/>
      <c r="AD77" s="27"/>
      <c r="AE77" s="27"/>
      <c r="AF77" s="27"/>
      <c r="AG77" s="27"/>
      <c r="AH77" s="27"/>
      <c r="AI77" s="27"/>
    </row>
    <row r="78" spans="1:35" ht="12" customHeight="1" x14ac:dyDescent="0.2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96"/>
      <c r="M78" s="97"/>
      <c r="N78" s="96"/>
      <c r="O78" s="97"/>
      <c r="P78" s="97"/>
      <c r="Q78" s="96"/>
      <c r="R78" s="188"/>
      <c r="S78" s="188"/>
      <c r="T78" s="189"/>
      <c r="U78" s="27"/>
      <c r="V78" s="94"/>
      <c r="W78" s="94"/>
      <c r="X78" s="94"/>
      <c r="Y78" s="94"/>
      <c r="Z78" s="94"/>
      <c r="AA78" s="94"/>
      <c r="AB78" s="94"/>
      <c r="AC78" s="27"/>
      <c r="AD78" s="27"/>
      <c r="AE78" s="27"/>
      <c r="AF78" s="27"/>
      <c r="AG78" s="27"/>
      <c r="AH78" s="27"/>
      <c r="AI78" s="27"/>
    </row>
    <row r="79" spans="1:35" ht="12" customHeight="1" x14ac:dyDescent="0.2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96"/>
      <c r="M79" s="97"/>
      <c r="N79" s="96"/>
      <c r="O79" s="97"/>
      <c r="P79" s="97"/>
      <c r="Q79" s="96"/>
      <c r="R79" s="188"/>
      <c r="S79" s="188"/>
      <c r="T79" s="189"/>
      <c r="U79" s="27"/>
      <c r="V79" s="94"/>
      <c r="W79" s="94"/>
      <c r="X79" s="94"/>
      <c r="Y79" s="94"/>
      <c r="Z79" s="94"/>
      <c r="AA79" s="94"/>
      <c r="AB79" s="94"/>
      <c r="AC79" s="27"/>
      <c r="AD79" s="27"/>
      <c r="AE79" s="27"/>
      <c r="AF79" s="27"/>
      <c r="AG79" s="27"/>
      <c r="AH79" s="27"/>
      <c r="AI79" s="27"/>
    </row>
    <row r="80" spans="1:35" ht="12" customHeight="1" x14ac:dyDescent="0.2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96"/>
      <c r="M80" s="97"/>
      <c r="N80" s="96"/>
      <c r="O80" s="97"/>
      <c r="P80" s="97"/>
      <c r="Q80" s="96"/>
      <c r="R80" s="188"/>
      <c r="S80" s="188"/>
      <c r="T80" s="189"/>
      <c r="U80" s="27"/>
      <c r="V80" s="94"/>
      <c r="W80" s="94"/>
      <c r="X80" s="94"/>
      <c r="Y80" s="94"/>
      <c r="Z80" s="94"/>
      <c r="AA80" s="94"/>
      <c r="AB80" s="94"/>
      <c r="AC80" s="27"/>
      <c r="AD80" s="27"/>
      <c r="AE80" s="27"/>
      <c r="AF80" s="27"/>
      <c r="AG80" s="27"/>
      <c r="AH80" s="27"/>
      <c r="AI80" s="27"/>
    </row>
    <row r="81" spans="1:35" ht="12" customHeight="1" x14ac:dyDescent="0.2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96"/>
      <c r="M81" s="97"/>
      <c r="N81" s="96"/>
      <c r="O81" s="97"/>
      <c r="P81" s="97"/>
      <c r="Q81" s="96"/>
      <c r="R81" s="188"/>
      <c r="S81" s="188"/>
      <c r="T81" s="189"/>
      <c r="U81" s="27"/>
      <c r="V81" s="94"/>
      <c r="W81" s="94"/>
      <c r="X81" s="94"/>
      <c r="Y81" s="94"/>
      <c r="Z81" s="94"/>
      <c r="AA81" s="94"/>
      <c r="AB81" s="94"/>
      <c r="AC81" s="27"/>
      <c r="AD81" s="27"/>
      <c r="AE81" s="27"/>
      <c r="AF81" s="27"/>
      <c r="AG81" s="27"/>
      <c r="AH81" s="27"/>
      <c r="AI81" s="27"/>
    </row>
    <row r="82" spans="1:35" ht="12" customHeight="1" x14ac:dyDescent="0.2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96"/>
      <c r="M82" s="97"/>
      <c r="N82" s="96"/>
      <c r="O82" s="97"/>
      <c r="P82" s="97"/>
      <c r="Q82" s="96"/>
      <c r="R82" s="188"/>
      <c r="S82" s="188"/>
      <c r="T82" s="189"/>
      <c r="U82" s="27"/>
      <c r="V82" s="94"/>
      <c r="W82" s="94"/>
      <c r="X82" s="94"/>
      <c r="Y82" s="94"/>
      <c r="Z82" s="94"/>
      <c r="AA82" s="94"/>
      <c r="AB82" s="94"/>
      <c r="AC82" s="27"/>
      <c r="AD82" s="27"/>
      <c r="AE82" s="27"/>
      <c r="AF82" s="27"/>
      <c r="AG82" s="27"/>
      <c r="AH82" s="27"/>
      <c r="AI82" s="27"/>
    </row>
    <row r="83" spans="1:35" ht="12" customHeight="1" x14ac:dyDescent="0.2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96"/>
      <c r="M83" s="97"/>
      <c r="N83" s="96"/>
      <c r="O83" s="97"/>
      <c r="P83" s="97"/>
      <c r="Q83" s="96"/>
      <c r="R83" s="188"/>
      <c r="S83" s="188"/>
      <c r="T83" s="189"/>
      <c r="U83" s="27"/>
      <c r="V83" s="94"/>
      <c r="W83" s="94"/>
      <c r="X83" s="94"/>
      <c r="Y83" s="94"/>
      <c r="Z83" s="94"/>
      <c r="AA83" s="94"/>
      <c r="AB83" s="94"/>
      <c r="AC83" s="27"/>
      <c r="AD83" s="27"/>
      <c r="AE83" s="27"/>
      <c r="AF83" s="27"/>
      <c r="AG83" s="27"/>
      <c r="AH83" s="27"/>
      <c r="AI83" s="27"/>
    </row>
    <row r="84" spans="1:35" ht="12" customHeight="1" x14ac:dyDescent="0.2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96"/>
      <c r="M84" s="97"/>
      <c r="N84" s="96"/>
      <c r="O84" s="97"/>
      <c r="P84" s="97"/>
      <c r="Q84" s="96"/>
      <c r="R84" s="188"/>
      <c r="S84" s="188"/>
      <c r="T84" s="189"/>
      <c r="U84" s="27"/>
      <c r="V84" s="94"/>
      <c r="W84" s="94"/>
      <c r="X84" s="94"/>
      <c r="Y84" s="94"/>
      <c r="Z84" s="94"/>
      <c r="AA84" s="94"/>
      <c r="AB84" s="94"/>
      <c r="AC84" s="27"/>
      <c r="AD84" s="27"/>
      <c r="AE84" s="27"/>
      <c r="AF84" s="27"/>
      <c r="AG84" s="27"/>
      <c r="AH84" s="27"/>
      <c r="AI84" s="27"/>
    </row>
    <row r="85" spans="1:35" ht="12" customHeight="1" x14ac:dyDescent="0.2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96"/>
      <c r="M85" s="97"/>
      <c r="N85" s="96"/>
      <c r="O85" s="97"/>
      <c r="P85" s="97"/>
      <c r="Q85" s="96"/>
      <c r="R85" s="188"/>
      <c r="S85" s="188"/>
      <c r="T85" s="189"/>
      <c r="U85" s="27"/>
      <c r="V85" s="94"/>
      <c r="W85" s="94"/>
      <c r="X85" s="94"/>
      <c r="Y85" s="94"/>
      <c r="Z85" s="94"/>
      <c r="AA85" s="94"/>
      <c r="AB85" s="94"/>
      <c r="AC85" s="27"/>
      <c r="AD85" s="27"/>
      <c r="AE85" s="27"/>
      <c r="AF85" s="27"/>
      <c r="AG85" s="27"/>
      <c r="AH85" s="27"/>
      <c r="AI85" s="27"/>
    </row>
    <row r="86" spans="1:35" ht="12" customHeight="1" x14ac:dyDescent="0.2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96"/>
      <c r="M86" s="97"/>
      <c r="N86" s="96"/>
      <c r="O86" s="97"/>
      <c r="P86" s="97"/>
      <c r="Q86" s="96"/>
      <c r="R86" s="188"/>
      <c r="S86" s="188"/>
      <c r="T86" s="189"/>
      <c r="U86" s="27"/>
      <c r="V86" s="94"/>
      <c r="W86" s="94"/>
      <c r="X86" s="94"/>
      <c r="Y86" s="94"/>
      <c r="Z86" s="94"/>
      <c r="AA86" s="94"/>
      <c r="AB86" s="94"/>
      <c r="AC86" s="27"/>
      <c r="AD86" s="27"/>
      <c r="AE86" s="27"/>
      <c r="AF86" s="27"/>
      <c r="AG86" s="27"/>
      <c r="AH86" s="27"/>
      <c r="AI86" s="27"/>
    </row>
    <row r="87" spans="1:35" ht="12" customHeight="1" x14ac:dyDescent="0.2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96"/>
      <c r="M87" s="97"/>
      <c r="N87" s="96"/>
      <c r="O87" s="97"/>
      <c r="P87" s="97"/>
      <c r="Q87" s="96"/>
      <c r="R87" s="188"/>
      <c r="S87" s="188"/>
      <c r="T87" s="189"/>
      <c r="U87" s="27"/>
      <c r="V87" s="94"/>
      <c r="W87" s="94"/>
      <c r="X87" s="94"/>
      <c r="Y87" s="94"/>
      <c r="Z87" s="94"/>
      <c r="AA87" s="94"/>
      <c r="AB87" s="94"/>
      <c r="AC87" s="27"/>
      <c r="AD87" s="27"/>
      <c r="AE87" s="27"/>
      <c r="AF87" s="27"/>
      <c r="AG87" s="27"/>
      <c r="AH87" s="27"/>
      <c r="AI87" s="27"/>
    </row>
    <row r="88" spans="1:35" ht="12" customHeight="1" x14ac:dyDescent="0.2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96"/>
      <c r="M88" s="97"/>
      <c r="N88" s="96"/>
      <c r="O88" s="97"/>
      <c r="P88" s="97"/>
      <c r="Q88" s="96"/>
      <c r="R88" s="188"/>
      <c r="S88" s="188"/>
      <c r="T88" s="189"/>
      <c r="U88" s="27"/>
      <c r="V88" s="94"/>
      <c r="W88" s="94"/>
      <c r="X88" s="94"/>
      <c r="Y88" s="94"/>
      <c r="Z88" s="94"/>
      <c r="AA88" s="94"/>
      <c r="AB88" s="94"/>
      <c r="AC88" s="27"/>
      <c r="AD88" s="27"/>
      <c r="AE88" s="27"/>
      <c r="AF88" s="27"/>
      <c r="AG88" s="27"/>
      <c r="AH88" s="27"/>
      <c r="AI88" s="27"/>
    </row>
    <row r="89" spans="1:35" ht="12" customHeight="1" x14ac:dyDescent="0.2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96"/>
      <c r="M89" s="97"/>
      <c r="N89" s="96"/>
      <c r="O89" s="97"/>
      <c r="P89" s="97"/>
      <c r="Q89" s="96"/>
      <c r="R89" s="188"/>
      <c r="S89" s="188"/>
      <c r="T89" s="189"/>
      <c r="U89" s="27"/>
      <c r="V89" s="94"/>
      <c r="W89" s="94"/>
      <c r="X89" s="94"/>
      <c r="Y89" s="94"/>
      <c r="Z89" s="94"/>
      <c r="AA89" s="94"/>
      <c r="AB89" s="94"/>
      <c r="AC89" s="27"/>
      <c r="AD89" s="27"/>
      <c r="AE89" s="27"/>
      <c r="AF89" s="27"/>
      <c r="AG89" s="27"/>
      <c r="AH89" s="27"/>
      <c r="AI89" s="27"/>
    </row>
    <row r="90" spans="1:35" ht="12" customHeight="1" x14ac:dyDescent="0.2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96"/>
      <c r="M90" s="97"/>
      <c r="N90" s="96"/>
      <c r="O90" s="97"/>
      <c r="P90" s="97"/>
      <c r="Q90" s="96"/>
      <c r="R90" s="188"/>
      <c r="S90" s="188"/>
      <c r="T90" s="189"/>
      <c r="U90" s="27"/>
      <c r="V90" s="94"/>
      <c r="W90" s="94"/>
      <c r="X90" s="94"/>
      <c r="Y90" s="94"/>
      <c r="Z90" s="94"/>
      <c r="AA90" s="94"/>
      <c r="AB90" s="94"/>
      <c r="AC90" s="27"/>
      <c r="AD90" s="27"/>
      <c r="AE90" s="27"/>
      <c r="AF90" s="27"/>
      <c r="AG90" s="27"/>
      <c r="AH90" s="27"/>
      <c r="AI90" s="27"/>
    </row>
    <row r="91" spans="1:35" ht="12" customHeight="1" x14ac:dyDescent="0.2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96"/>
      <c r="M91" s="97"/>
      <c r="N91" s="96"/>
      <c r="O91" s="97"/>
      <c r="P91" s="97"/>
      <c r="Q91" s="96"/>
      <c r="R91" s="188"/>
      <c r="S91" s="188"/>
      <c r="T91" s="189"/>
      <c r="U91" s="27"/>
      <c r="V91" s="94"/>
      <c r="W91" s="94"/>
      <c r="X91" s="94"/>
      <c r="Y91" s="94"/>
      <c r="Z91" s="94"/>
      <c r="AA91" s="94"/>
      <c r="AB91" s="94"/>
      <c r="AC91" s="27"/>
      <c r="AD91" s="27"/>
      <c r="AE91" s="27"/>
      <c r="AF91" s="27"/>
      <c r="AG91" s="27"/>
      <c r="AH91" s="27"/>
      <c r="AI91" s="27"/>
    </row>
    <row r="92" spans="1:35" ht="12" customHeight="1" x14ac:dyDescent="0.2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96"/>
      <c r="M92" s="97"/>
      <c r="N92" s="96"/>
      <c r="O92" s="97"/>
      <c r="P92" s="97"/>
      <c r="Q92" s="96"/>
      <c r="R92" s="188"/>
      <c r="S92" s="188"/>
      <c r="T92" s="189"/>
      <c r="U92" s="27"/>
      <c r="V92" s="94"/>
      <c r="W92" s="94"/>
      <c r="X92" s="94"/>
      <c r="Y92" s="94"/>
      <c r="Z92" s="94"/>
      <c r="AA92" s="94"/>
      <c r="AB92" s="94"/>
      <c r="AC92" s="27"/>
      <c r="AD92" s="27"/>
      <c r="AE92" s="27"/>
      <c r="AF92" s="27"/>
      <c r="AG92" s="27"/>
      <c r="AH92" s="27"/>
      <c r="AI92" s="27"/>
    </row>
    <row r="93" spans="1:35" ht="12" customHeight="1" x14ac:dyDescent="0.2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96"/>
      <c r="M93" s="97"/>
      <c r="N93" s="96"/>
      <c r="O93" s="97"/>
      <c r="P93" s="97"/>
      <c r="Q93" s="96"/>
      <c r="R93" s="188"/>
      <c r="S93" s="188"/>
      <c r="T93" s="189"/>
      <c r="U93" s="27"/>
      <c r="V93" s="94"/>
      <c r="W93" s="94"/>
      <c r="X93" s="94"/>
      <c r="Y93" s="94"/>
      <c r="Z93" s="94"/>
      <c r="AA93" s="94"/>
      <c r="AB93" s="94"/>
      <c r="AC93" s="27"/>
      <c r="AD93" s="27"/>
      <c r="AE93" s="27"/>
      <c r="AF93" s="27"/>
      <c r="AG93" s="27"/>
      <c r="AH93" s="27"/>
      <c r="AI93" s="27"/>
    </row>
    <row r="94" spans="1:35" ht="12" customHeight="1" x14ac:dyDescent="0.2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96"/>
      <c r="M94" s="97"/>
      <c r="N94" s="96"/>
      <c r="O94" s="97"/>
      <c r="P94" s="97"/>
      <c r="Q94" s="96"/>
      <c r="R94" s="188"/>
      <c r="S94" s="188"/>
      <c r="T94" s="189"/>
      <c r="U94" s="27"/>
      <c r="V94" s="94"/>
      <c r="W94" s="94"/>
      <c r="X94" s="94"/>
      <c r="Y94" s="94"/>
      <c r="Z94" s="94"/>
      <c r="AA94" s="94"/>
      <c r="AB94" s="94"/>
      <c r="AC94" s="27"/>
      <c r="AD94" s="27"/>
      <c r="AE94" s="27"/>
      <c r="AF94" s="27"/>
      <c r="AG94" s="27"/>
      <c r="AH94" s="27"/>
      <c r="AI94" s="27"/>
    </row>
    <row r="95" spans="1:35" ht="12" customHeight="1" x14ac:dyDescent="0.2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96"/>
      <c r="M95" s="97"/>
      <c r="N95" s="96"/>
      <c r="O95" s="97"/>
      <c r="P95" s="97"/>
      <c r="Q95" s="96"/>
      <c r="R95" s="188"/>
      <c r="S95" s="188"/>
      <c r="T95" s="189"/>
      <c r="U95" s="27"/>
      <c r="V95" s="94"/>
      <c r="W95" s="94"/>
      <c r="X95" s="94"/>
      <c r="Y95" s="94"/>
      <c r="Z95" s="94"/>
      <c r="AA95" s="94"/>
      <c r="AB95" s="94"/>
      <c r="AC95" s="27"/>
      <c r="AD95" s="27"/>
      <c r="AE95" s="27"/>
      <c r="AF95" s="27"/>
      <c r="AG95" s="27"/>
      <c r="AH95" s="27"/>
      <c r="AI95" s="27"/>
    </row>
    <row r="96" spans="1:35" ht="12" customHeight="1" x14ac:dyDescent="0.2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96"/>
      <c r="M96" s="97"/>
      <c r="N96" s="96"/>
      <c r="O96" s="97"/>
      <c r="P96" s="97"/>
      <c r="Q96" s="96"/>
      <c r="R96" s="188"/>
      <c r="S96" s="188"/>
      <c r="T96" s="189"/>
      <c r="U96" s="27"/>
      <c r="V96" s="94"/>
      <c r="W96" s="94"/>
      <c r="X96" s="94"/>
      <c r="Y96" s="94"/>
      <c r="Z96" s="94"/>
      <c r="AA96" s="94"/>
      <c r="AB96" s="94"/>
      <c r="AC96" s="27"/>
      <c r="AD96" s="27"/>
      <c r="AE96" s="27"/>
      <c r="AF96" s="27"/>
      <c r="AG96" s="27"/>
      <c r="AH96" s="27"/>
      <c r="AI96" s="27"/>
    </row>
    <row r="97" spans="1:35" ht="12" customHeight="1" x14ac:dyDescent="0.2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96"/>
      <c r="M97" s="97"/>
      <c r="N97" s="96"/>
      <c r="O97" s="97"/>
      <c r="P97" s="97"/>
      <c r="Q97" s="96"/>
      <c r="R97" s="188"/>
      <c r="S97" s="188"/>
      <c r="T97" s="189"/>
      <c r="U97" s="27"/>
      <c r="V97" s="94"/>
      <c r="W97" s="94"/>
      <c r="X97" s="94"/>
      <c r="Y97" s="94"/>
      <c r="Z97" s="94"/>
      <c r="AA97" s="94"/>
      <c r="AB97" s="94"/>
      <c r="AC97" s="27"/>
      <c r="AD97" s="27"/>
      <c r="AE97" s="27"/>
      <c r="AF97" s="27"/>
      <c r="AG97" s="27"/>
      <c r="AH97" s="27"/>
      <c r="AI97" s="27"/>
    </row>
    <row r="98" spans="1:35" ht="12" customHeight="1" x14ac:dyDescent="0.2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96"/>
      <c r="M98" s="97"/>
      <c r="N98" s="96"/>
      <c r="O98" s="97"/>
      <c r="P98" s="97"/>
      <c r="Q98" s="96"/>
      <c r="R98" s="188"/>
      <c r="S98" s="188"/>
      <c r="T98" s="189"/>
      <c r="U98" s="27"/>
      <c r="V98" s="94"/>
      <c r="W98" s="94"/>
      <c r="X98" s="94"/>
      <c r="Y98" s="94"/>
      <c r="Z98" s="94"/>
      <c r="AA98" s="94"/>
      <c r="AB98" s="94"/>
      <c r="AC98" s="27"/>
      <c r="AD98" s="27"/>
      <c r="AE98" s="27"/>
      <c r="AF98" s="27"/>
      <c r="AG98" s="27"/>
      <c r="AH98" s="27"/>
      <c r="AI98" s="27"/>
    </row>
    <row r="99" spans="1:35" ht="12" customHeight="1" x14ac:dyDescent="0.2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96"/>
      <c r="M99" s="97"/>
      <c r="N99" s="96"/>
      <c r="O99" s="97"/>
      <c r="P99" s="97"/>
      <c r="Q99" s="96"/>
      <c r="R99" s="188"/>
      <c r="S99" s="188"/>
      <c r="T99" s="189"/>
      <c r="U99" s="27"/>
      <c r="V99" s="94"/>
      <c r="W99" s="94"/>
      <c r="X99" s="94"/>
      <c r="Y99" s="94"/>
      <c r="Z99" s="94"/>
      <c r="AA99" s="94"/>
      <c r="AB99" s="94"/>
      <c r="AC99" s="27"/>
      <c r="AD99" s="27"/>
      <c r="AE99" s="27"/>
      <c r="AF99" s="27"/>
      <c r="AG99" s="27"/>
      <c r="AH99" s="27"/>
      <c r="AI99" s="27"/>
    </row>
    <row r="100" spans="1:35" ht="12" customHeight="1" x14ac:dyDescent="0.2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96"/>
      <c r="M100" s="97"/>
      <c r="N100" s="96"/>
      <c r="O100" s="97"/>
      <c r="P100" s="97"/>
      <c r="Q100" s="96"/>
      <c r="R100" s="188"/>
      <c r="S100" s="188"/>
      <c r="T100" s="189"/>
      <c r="U100" s="27"/>
      <c r="V100" s="94"/>
      <c r="W100" s="94"/>
      <c r="X100" s="94"/>
      <c r="Y100" s="94"/>
      <c r="Z100" s="94"/>
      <c r="AA100" s="94"/>
      <c r="AB100" s="94"/>
      <c r="AC100" s="27"/>
      <c r="AD100" s="27"/>
      <c r="AE100" s="27"/>
      <c r="AF100" s="27"/>
      <c r="AG100" s="27"/>
      <c r="AH100" s="27"/>
      <c r="AI100" s="27"/>
    </row>
  </sheetData>
  <autoFilter ref="A3:AI13" xr:uid="{00000000-0009-0000-0000-000002000000}"/>
  <conditionalFormatting sqref="R4:R13">
    <cfRule type="notContainsBlanks" dxfId="1" priority="1">
      <formula>LEN(TRIM(R4))&gt;0</formula>
    </cfRule>
  </conditionalFormatting>
  <conditionalFormatting sqref="AH4:AI13">
    <cfRule type="cellIs" dxfId="0" priority="2" operator="notEqual">
      <formula>0</formula>
    </cfRule>
  </conditionalFormatting>
  <pageMargins left="0.7" right="0.7" top="0.75" bottom="0.75" header="0" footer="0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V100"/>
  <sheetViews>
    <sheetView workbookViewId="0">
      <pane xSplit="5" ySplit="3" topLeftCell="AP4" activePane="bottomRight" state="frozen"/>
      <selection pane="topRight" activeCell="F1" sqref="F1"/>
      <selection pane="bottomLeft" activeCell="A4" sqref="A4"/>
      <selection pane="bottomRight" activeCell="C4" sqref="C4"/>
    </sheetView>
  </sheetViews>
  <sheetFormatPr defaultColWidth="14.42578125" defaultRowHeight="15" customHeight="1" x14ac:dyDescent="0.25"/>
  <cols>
    <col min="1" max="1" width="20.28515625" customWidth="1"/>
    <col min="2" max="2" width="11.140625" customWidth="1"/>
    <col min="3" max="3" width="20" customWidth="1"/>
    <col min="4" max="4" width="13.7109375" customWidth="1"/>
    <col min="5" max="5" width="15.7109375" customWidth="1"/>
    <col min="6" max="6" width="20.85546875" customWidth="1"/>
    <col min="7" max="7" width="15.140625" customWidth="1"/>
    <col min="8" max="8" width="11.85546875" customWidth="1"/>
    <col min="9" max="9" width="7.140625" customWidth="1"/>
    <col min="10" max="10" width="12.140625" customWidth="1"/>
    <col min="11" max="11" width="20.5703125" customWidth="1"/>
    <col min="12" max="12" width="14.85546875" customWidth="1"/>
    <col min="13" max="13" width="13.42578125" customWidth="1"/>
    <col min="14" max="14" width="30.5703125" customWidth="1"/>
    <col min="15" max="15" width="15.7109375" customWidth="1"/>
    <col min="16" max="16" width="5.85546875" customWidth="1"/>
    <col min="17" max="17" width="16.42578125" customWidth="1"/>
    <col min="18" max="18" width="7" customWidth="1"/>
    <col min="19" max="19" width="17.140625" customWidth="1"/>
    <col min="20" max="20" width="15.140625" customWidth="1"/>
    <col min="21" max="21" width="14.140625" customWidth="1"/>
    <col min="22" max="22" width="17.140625" customWidth="1"/>
    <col min="23" max="27" width="15.42578125" customWidth="1"/>
    <col min="28" max="28" width="16.42578125" customWidth="1"/>
    <col min="29" max="30" width="15.42578125" customWidth="1"/>
    <col min="31" max="31" width="12" customWidth="1"/>
    <col min="32" max="32" width="16.140625" customWidth="1"/>
    <col min="33" max="34" width="14.28515625" customWidth="1"/>
    <col min="35" max="35" width="17.5703125" customWidth="1"/>
    <col min="36" max="36" width="15.140625" customWidth="1"/>
    <col min="37" max="37" width="14.7109375" customWidth="1"/>
    <col min="38" max="39" width="11.42578125" customWidth="1"/>
    <col min="40" max="40" width="14.85546875" customWidth="1"/>
    <col min="41" max="41" width="16.5703125" customWidth="1"/>
    <col min="42" max="42" width="16.42578125" customWidth="1"/>
    <col min="43" max="43" width="14.85546875" customWidth="1"/>
    <col min="44" max="45" width="15.42578125" customWidth="1"/>
    <col min="46" max="46" width="16.140625" customWidth="1"/>
    <col min="47" max="47" width="19.42578125" customWidth="1"/>
    <col min="48" max="48" width="16.85546875" customWidth="1"/>
  </cols>
  <sheetData>
    <row r="1" spans="1:48" ht="29.25" customHeight="1" x14ac:dyDescent="0.25">
      <c r="A1" s="250" t="s">
        <v>155</v>
      </c>
      <c r="B1" s="94"/>
      <c r="C1" s="96"/>
      <c r="D1" s="96"/>
      <c r="E1" s="94"/>
      <c r="F1" s="94"/>
      <c r="G1" s="94"/>
      <c r="H1" s="27"/>
      <c r="I1" s="27"/>
      <c r="J1" s="27"/>
      <c r="K1" s="96"/>
      <c r="L1" s="97"/>
      <c r="M1" s="94"/>
      <c r="N1" s="97"/>
      <c r="O1" s="27"/>
      <c r="P1" s="94"/>
      <c r="Q1" s="27"/>
      <c r="R1" s="27"/>
      <c r="S1" s="27"/>
      <c r="T1" s="27"/>
      <c r="U1" s="96"/>
      <c r="V1" s="96"/>
      <c r="W1" s="96"/>
      <c r="X1" s="96"/>
      <c r="Y1" s="96"/>
      <c r="Z1" s="96"/>
      <c r="AA1" s="96"/>
      <c r="AB1" s="96"/>
      <c r="AC1" s="96"/>
      <c r="AD1" s="96"/>
      <c r="AE1" s="27"/>
      <c r="AF1" s="94"/>
      <c r="AG1" s="94"/>
      <c r="AH1" s="94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</row>
    <row r="2" spans="1:48" ht="31.5" customHeight="1" x14ac:dyDescent="0.25">
      <c r="A2" s="2"/>
      <c r="B2" s="94"/>
      <c r="C2" s="96"/>
      <c r="D2" s="96"/>
      <c r="E2" s="94"/>
      <c r="F2" s="94"/>
      <c r="G2" s="94"/>
      <c r="H2" s="27"/>
      <c r="I2" s="27"/>
      <c r="J2" s="27"/>
      <c r="K2" s="96"/>
      <c r="L2" s="97"/>
      <c r="M2" s="94"/>
      <c r="N2" s="97"/>
      <c r="O2" s="27"/>
      <c r="P2" s="403" t="s">
        <v>156</v>
      </c>
      <c r="Q2" s="404"/>
      <c r="R2" s="405" t="s">
        <v>157</v>
      </c>
      <c r="S2" s="406"/>
      <c r="T2" s="27"/>
      <c r="U2" s="408" t="s">
        <v>158</v>
      </c>
      <c r="V2" s="396"/>
      <c r="W2" s="409" t="s">
        <v>158</v>
      </c>
      <c r="X2" s="399"/>
      <c r="Y2" s="399"/>
      <c r="Z2" s="399"/>
      <c r="AA2" s="399"/>
      <c r="AB2" s="399"/>
      <c r="AC2" s="399"/>
      <c r="AD2" s="410"/>
      <c r="AE2" s="401" t="s">
        <v>62</v>
      </c>
      <c r="AF2" s="402"/>
      <c r="AG2" s="398" t="s">
        <v>159</v>
      </c>
      <c r="AH2" s="399"/>
      <c r="AI2" s="399"/>
      <c r="AJ2" s="399"/>
      <c r="AK2" s="399"/>
      <c r="AL2" s="399"/>
      <c r="AM2" s="399"/>
      <c r="AN2" s="400"/>
      <c r="AO2" s="251"/>
      <c r="AP2" s="251"/>
      <c r="AQ2" s="251"/>
      <c r="AR2" s="252"/>
      <c r="AS2" s="27"/>
      <c r="AT2" s="27"/>
      <c r="AU2" s="27"/>
      <c r="AV2" s="27"/>
    </row>
    <row r="3" spans="1:48" ht="48" customHeight="1" x14ac:dyDescent="0.25">
      <c r="A3" s="253" t="s">
        <v>95</v>
      </c>
      <c r="B3" s="254" t="s">
        <v>4</v>
      </c>
      <c r="C3" s="255" t="s">
        <v>17</v>
      </c>
      <c r="D3" s="255" t="s">
        <v>160</v>
      </c>
      <c r="E3" s="255" t="s">
        <v>64</v>
      </c>
      <c r="F3" s="255" t="s">
        <v>161</v>
      </c>
      <c r="G3" s="255" t="s">
        <v>66</v>
      </c>
      <c r="H3" s="255" t="s">
        <v>67</v>
      </c>
      <c r="I3" s="253" t="s">
        <v>68</v>
      </c>
      <c r="J3" s="255" t="s">
        <v>69</v>
      </c>
      <c r="K3" s="255" t="s">
        <v>15</v>
      </c>
      <c r="L3" s="255" t="s">
        <v>99</v>
      </c>
      <c r="M3" s="253" t="s">
        <v>26</v>
      </c>
      <c r="N3" s="256" t="s">
        <v>5</v>
      </c>
      <c r="O3" s="256" t="s">
        <v>6</v>
      </c>
      <c r="P3" s="257" t="s">
        <v>162</v>
      </c>
      <c r="Q3" s="258" t="s">
        <v>10</v>
      </c>
      <c r="R3" s="258" t="s">
        <v>162</v>
      </c>
      <c r="S3" s="259" t="s">
        <v>10</v>
      </c>
      <c r="T3" s="260" t="s">
        <v>163</v>
      </c>
      <c r="U3" s="407" t="s">
        <v>164</v>
      </c>
      <c r="V3" s="396"/>
      <c r="W3" s="261" t="s">
        <v>165</v>
      </c>
      <c r="X3" s="262" t="s">
        <v>166</v>
      </c>
      <c r="Y3" s="107" t="s">
        <v>167</v>
      </c>
      <c r="Z3" s="263" t="s">
        <v>168</v>
      </c>
      <c r="AA3" s="119" t="s">
        <v>169</v>
      </c>
      <c r="AB3" s="264" t="s">
        <v>170</v>
      </c>
      <c r="AC3" s="107" t="s">
        <v>171</v>
      </c>
      <c r="AD3" s="265" t="s">
        <v>81</v>
      </c>
      <c r="AE3" s="266" t="s">
        <v>82</v>
      </c>
      <c r="AF3" s="267" t="s">
        <v>10</v>
      </c>
      <c r="AG3" s="268" t="s">
        <v>172</v>
      </c>
      <c r="AH3" s="269" t="s">
        <v>73</v>
      </c>
      <c r="AI3" s="269" t="s">
        <v>173</v>
      </c>
      <c r="AJ3" s="269" t="s">
        <v>174</v>
      </c>
      <c r="AK3" s="270" t="s">
        <v>175</v>
      </c>
      <c r="AL3" s="271" t="s">
        <v>176</v>
      </c>
      <c r="AM3" s="271" t="s">
        <v>177</v>
      </c>
      <c r="AN3" s="271" t="s">
        <v>178</v>
      </c>
      <c r="AO3" s="272" t="s">
        <v>179</v>
      </c>
      <c r="AP3" s="269" t="s">
        <v>180</v>
      </c>
      <c r="AQ3" s="273" t="s">
        <v>89</v>
      </c>
      <c r="AR3" s="268" t="s">
        <v>181</v>
      </c>
      <c r="AS3" s="269" t="s">
        <v>182</v>
      </c>
      <c r="AT3" s="271" t="s">
        <v>183</v>
      </c>
      <c r="AU3" s="257" t="s">
        <v>184</v>
      </c>
      <c r="AV3" s="274" t="s">
        <v>185</v>
      </c>
    </row>
    <row r="4" spans="1:48" ht="33.75" customHeight="1" x14ac:dyDescent="0.25">
      <c r="A4" s="203" t="str">
        <f>IF(ISBLANK(IMPORT!A4),"-",IMPORT!A4)</f>
        <v>ACBD</v>
      </c>
      <c r="B4" s="204" t="str">
        <f>IF(ISBLANK(IMPORT!B4),"-",IMPORT!B4)</f>
        <v>Turkey</v>
      </c>
      <c r="C4" s="203" t="str">
        <f>IF(ISBLANK(IMPORT!O4),"-",IMPORT!O4)</f>
        <v>API2024000000087</v>
      </c>
      <c r="D4" s="213" t="str">
        <f>IF(ISBLANK(IMPORT!S4),"-",IMPORT!S4)</f>
        <v>-</v>
      </c>
      <c r="E4" s="213" t="str">
        <f>IF(ISBLANK(IMPORT!T4),"-",IMPORT!T4)</f>
        <v>106041226000</v>
      </c>
      <c r="F4" s="207"/>
      <c r="G4" s="212" t="s">
        <v>186</v>
      </c>
      <c r="H4" s="275">
        <v>1516</v>
      </c>
      <c r="I4" s="276">
        <v>4.32</v>
      </c>
      <c r="J4" s="275">
        <v>1516</v>
      </c>
      <c r="K4" s="203" t="str">
        <f>IF(ISBLANK(IMPORT!L4),"-",IMPORT!L4)</f>
        <v>DAP - Bien Hoa City, Vietnam</v>
      </c>
      <c r="L4" s="212" t="str">
        <f>IMPORT!M4</f>
        <v>Air-freight</v>
      </c>
      <c r="M4" s="212" t="str">
        <f>IF(ISBLANK(IMPORT!AB4),"-",IMPORT!AB4)</f>
        <v>BEE</v>
      </c>
      <c r="N4" s="277" t="str">
        <f>IF(ISBLANK(IMPORT!D4),"-",IMPORT!D4)</f>
        <v>RUBBER EPDM E7020S</v>
      </c>
      <c r="O4" s="278" t="str">
        <f>IF(ISBLANK(IMPORT!C4),"-",IMPORT!C4)</f>
        <v>40059990</v>
      </c>
      <c r="P4" s="279">
        <v>0.05</v>
      </c>
      <c r="Q4" s="210">
        <v>6158067</v>
      </c>
      <c r="R4" s="280">
        <v>0.08</v>
      </c>
      <c r="S4" s="281">
        <v>10345553</v>
      </c>
      <c r="T4" s="282">
        <v>26339.59</v>
      </c>
      <c r="U4" s="209"/>
      <c r="V4" s="283"/>
      <c r="W4" s="284"/>
      <c r="X4" s="285"/>
      <c r="Y4" s="285"/>
      <c r="Z4" s="286"/>
      <c r="AA4" s="287"/>
      <c r="AB4" s="287"/>
      <c r="AC4" s="285"/>
      <c r="AD4" s="288"/>
      <c r="AE4" s="289"/>
      <c r="AF4" s="290"/>
      <c r="AG4" s="287"/>
      <c r="AH4" s="286"/>
      <c r="AI4" s="291">
        <f t="shared" ref="AI4:AI5" si="0">1400000/AP4</f>
        <v>57.412343653885586</v>
      </c>
      <c r="AJ4" s="286"/>
      <c r="AK4" s="292"/>
      <c r="AL4" s="283"/>
      <c r="AM4" s="283"/>
      <c r="AN4" s="283"/>
      <c r="AO4" s="293">
        <f t="shared" ref="AO4:AO5" si="1">SUM(W4:AD4,AF4,AG4:AN4)</f>
        <v>57.412343653885586</v>
      </c>
      <c r="AP4" s="210">
        <v>24385</v>
      </c>
      <c r="AQ4" s="294">
        <f t="shared" ref="AQ4:AQ5" si="2">SUM(AG4:AN4)*AP4*8%</f>
        <v>112000</v>
      </c>
      <c r="AR4" s="292">
        <v>7676014</v>
      </c>
      <c r="AS4" s="283">
        <v>20000</v>
      </c>
      <c r="AT4" s="283"/>
      <c r="AU4" s="295">
        <f t="shared" ref="AU4:AU5" si="3">SUM(V4,AO4*AP4,AQ4,AR4:AT4)</f>
        <v>9208014</v>
      </c>
      <c r="AV4" s="296">
        <f t="shared" ref="AV4:AV5" si="4">Q4+S4</f>
        <v>16503620</v>
      </c>
    </row>
    <row r="5" spans="1:48" ht="33.75" customHeight="1" x14ac:dyDescent="0.25">
      <c r="A5" s="79" t="str">
        <f>IF(ISBLANK(IMPORT!A5),"-",IMPORT!A5)</f>
        <v>DMAG</v>
      </c>
      <c r="B5" s="221" t="str">
        <f>IF(ISBLANK(IMPORT!B5),"-",IMPORT!B5)</f>
        <v>Italy</v>
      </c>
      <c r="C5" s="79" t="str">
        <f>IF(ISBLANK(IMPORT!O5),"-",IMPORT!O5)</f>
        <v>ITS2024000000003</v>
      </c>
      <c r="D5" s="78" t="str">
        <f>IF(ISBLANK(IMPORT!S5),"-",IMPORT!S5)</f>
        <v>-</v>
      </c>
      <c r="E5" s="78" t="str">
        <f>IF(ISBLANK(IMPORT!T5),"-",IMPORT!T5)</f>
        <v>106041226001</v>
      </c>
      <c r="F5" s="80"/>
      <c r="G5" s="85" t="s">
        <v>186</v>
      </c>
      <c r="H5" s="297">
        <v>1516</v>
      </c>
      <c r="I5" s="89">
        <v>4.32</v>
      </c>
      <c r="J5" s="297">
        <v>1516</v>
      </c>
      <c r="K5" s="79" t="str">
        <f>IF(ISBLANK(IMPORT!L5),"-",IMPORT!L5)</f>
        <v>DAP - Bien Hoa City, Vietnam</v>
      </c>
      <c r="L5" s="85" t="str">
        <f>IMPORT!M5</f>
        <v>Air-freight</v>
      </c>
      <c r="M5" s="85" t="str">
        <f>IF(ISBLANK(IMPORT!AB5),"-",IMPORT!AB5)</f>
        <v>BEE</v>
      </c>
      <c r="N5" s="298" t="str">
        <f>IF(ISBLANK(IMPORT!D5),"-",IMPORT!D5)</f>
        <v>RUBBER EPDM E6016S</v>
      </c>
      <c r="O5" s="299" t="str">
        <f>IF(ISBLANK(IMPORT!C5),"-",IMPORT!C5)</f>
        <v>40059990</v>
      </c>
      <c r="P5" s="300">
        <v>0.05</v>
      </c>
      <c r="Q5" s="223">
        <v>9463946</v>
      </c>
      <c r="R5" s="301">
        <v>0.08</v>
      </c>
      <c r="S5" s="302">
        <v>15899430</v>
      </c>
      <c r="T5" s="303">
        <v>26339.59</v>
      </c>
      <c r="U5" s="92">
        <v>4010</v>
      </c>
      <c r="V5" s="304">
        <f>U5*T5</f>
        <v>105621755.90000001</v>
      </c>
      <c r="W5" s="305"/>
      <c r="X5" s="306"/>
      <c r="Y5" s="306"/>
      <c r="Z5" s="307"/>
      <c r="AA5" s="308"/>
      <c r="AB5" s="308"/>
      <c r="AC5" s="306"/>
      <c r="AD5" s="309"/>
      <c r="AE5" s="310"/>
      <c r="AF5" s="311"/>
      <c r="AG5" s="308"/>
      <c r="AH5" s="307"/>
      <c r="AI5" s="307">
        <f t="shared" si="0"/>
        <v>57.400574005740054</v>
      </c>
      <c r="AJ5" s="307"/>
      <c r="AK5" s="312"/>
      <c r="AL5" s="304"/>
      <c r="AM5" s="304"/>
      <c r="AN5" s="304"/>
      <c r="AO5" s="313">
        <f t="shared" si="1"/>
        <v>57.400574005740054</v>
      </c>
      <c r="AP5" s="223">
        <v>24390</v>
      </c>
      <c r="AQ5" s="314">
        <f t="shared" si="2"/>
        <v>112000</v>
      </c>
      <c r="AR5" s="312">
        <f>4462366-AT5</f>
        <v>3003977.2</v>
      </c>
      <c r="AS5" s="304">
        <v>20000</v>
      </c>
      <c r="AT5" s="304">
        <f>1350360*1.08</f>
        <v>1458388.8</v>
      </c>
      <c r="AU5" s="315">
        <f t="shared" si="3"/>
        <v>111616121.90000001</v>
      </c>
      <c r="AV5" s="316">
        <f t="shared" si="4"/>
        <v>25363376</v>
      </c>
    </row>
    <row r="6" spans="1:48" ht="32.25" customHeight="1" x14ac:dyDescent="0.25">
      <c r="A6" s="45" t="str">
        <f>IF(ISBLANK(IMPORT!A6),"-",IMPORT!A6)</f>
        <v>-</v>
      </c>
      <c r="B6" s="46" t="str">
        <f>IF(ISBLANK(IMPORT!B6),"-",IMPORT!B6)</f>
        <v>-</v>
      </c>
      <c r="C6" s="45" t="str">
        <f>IF(ISBLANK(IMPORT!O6),"-",IMPORT!O6)</f>
        <v>-</v>
      </c>
      <c r="D6" s="44" t="str">
        <f>IF(ISBLANK(IMPORT!S6),"-",IMPORT!S6)</f>
        <v>-</v>
      </c>
      <c r="E6" s="46" t="str">
        <f>IF(ISBLANK(IMPORT!T6),"-",IMPORT!T6)</f>
        <v>-</v>
      </c>
      <c r="F6" s="46"/>
      <c r="G6" s="52" t="s">
        <v>186</v>
      </c>
      <c r="H6" s="147">
        <v>1516</v>
      </c>
      <c r="I6" s="55">
        <v>4.32</v>
      </c>
      <c r="J6" s="147">
        <v>1516</v>
      </c>
      <c r="K6" s="45" t="str">
        <f>IF(ISBLANK(IMPORT!L6),"-",IMPORT!L6)</f>
        <v>-</v>
      </c>
      <c r="L6" s="52">
        <f>IMPORT!M6</f>
        <v>0</v>
      </c>
      <c r="M6" s="46" t="str">
        <f>IF(ISBLANK(IMPORT!AB6),"-",IMPORT!AB6)</f>
        <v>-</v>
      </c>
      <c r="N6" s="185" t="str">
        <f>IF(ISBLANK(IMPORT!D6),"-",IMPORT!D6)</f>
        <v>-</v>
      </c>
      <c r="O6" s="317" t="str">
        <f>IF(ISBLANK(IMPORT!C6),"-",IMPORT!C6)</f>
        <v>-</v>
      </c>
      <c r="P6" s="318"/>
      <c r="Q6" s="156"/>
      <c r="R6" s="319"/>
      <c r="S6" s="320"/>
      <c r="T6" s="321"/>
      <c r="U6" s="49"/>
      <c r="V6" s="322"/>
      <c r="W6" s="323"/>
      <c r="X6" s="152"/>
      <c r="Y6" s="152"/>
      <c r="Z6" s="150"/>
      <c r="AA6" s="151"/>
      <c r="AB6" s="151"/>
      <c r="AC6" s="152"/>
      <c r="AD6" s="324"/>
      <c r="AE6" s="325"/>
      <c r="AF6" s="326"/>
      <c r="AG6" s="151"/>
      <c r="AH6" s="150"/>
      <c r="AI6" s="327"/>
      <c r="AJ6" s="150"/>
      <c r="AK6" s="152"/>
      <c r="AL6" s="152"/>
      <c r="AM6" s="152"/>
      <c r="AN6" s="322"/>
      <c r="AO6" s="328"/>
      <c r="AP6" s="156"/>
      <c r="AQ6" s="329"/>
      <c r="AR6" s="330"/>
      <c r="AS6" s="322"/>
      <c r="AT6" s="322"/>
      <c r="AU6" s="331"/>
      <c r="AV6" s="332"/>
    </row>
    <row r="7" spans="1:48" ht="32.25" customHeight="1" x14ac:dyDescent="0.25">
      <c r="A7" s="79" t="str">
        <f>IF(ISBLANK(IMPORT!A7),"-",IMPORT!A7)</f>
        <v>-</v>
      </c>
      <c r="B7" s="221" t="str">
        <f>IF(ISBLANK(IMPORT!B7),"-",IMPORT!B7)</f>
        <v>-</v>
      </c>
      <c r="C7" s="79" t="str">
        <f>IF(ISBLANK(IMPORT!O7),"-",IMPORT!O7)</f>
        <v>-</v>
      </c>
      <c r="D7" s="78" t="str">
        <f>IF(ISBLANK(IMPORT!S7),"-",IMPORT!S7)</f>
        <v>-</v>
      </c>
      <c r="E7" s="80" t="str">
        <f>IF(ISBLANK(IMPORT!T7),"-",IMPORT!T7)</f>
        <v>-</v>
      </c>
      <c r="F7" s="80"/>
      <c r="G7" s="85" t="s">
        <v>186</v>
      </c>
      <c r="H7" s="297">
        <v>1516</v>
      </c>
      <c r="I7" s="89">
        <v>4.32</v>
      </c>
      <c r="J7" s="297">
        <v>1516</v>
      </c>
      <c r="K7" s="79" t="str">
        <f>IF(ISBLANK(IMPORT!L7),"-",IMPORT!L7)</f>
        <v>-</v>
      </c>
      <c r="L7" s="85">
        <f>IMPORT!M7</f>
        <v>0</v>
      </c>
      <c r="M7" s="80" t="str">
        <f>IF(ISBLANK(IMPORT!AB7),"-",IMPORT!AB7)</f>
        <v>-</v>
      </c>
      <c r="N7" s="298" t="str">
        <f>IF(ISBLANK(IMPORT!D7),"-",IMPORT!D7)</f>
        <v>-</v>
      </c>
      <c r="O7" s="333" t="str">
        <f>IF(ISBLANK(IMPORT!C7),"-",IMPORT!C7)</f>
        <v>-</v>
      </c>
      <c r="P7" s="300"/>
      <c r="Q7" s="223"/>
      <c r="R7" s="301"/>
      <c r="S7" s="302"/>
      <c r="T7" s="303"/>
      <c r="U7" s="92"/>
      <c r="V7" s="304"/>
      <c r="W7" s="305"/>
      <c r="X7" s="306"/>
      <c r="Y7" s="306"/>
      <c r="Z7" s="307"/>
      <c r="AA7" s="308"/>
      <c r="AB7" s="308"/>
      <c r="AC7" s="306"/>
      <c r="AD7" s="309"/>
      <c r="AE7" s="310"/>
      <c r="AF7" s="311"/>
      <c r="AG7" s="308"/>
      <c r="AH7" s="307"/>
      <c r="AI7" s="307"/>
      <c r="AJ7" s="307"/>
      <c r="AK7" s="306"/>
      <c r="AL7" s="306"/>
      <c r="AM7" s="306"/>
      <c r="AN7" s="304"/>
      <c r="AO7" s="334">
        <f t="shared" ref="AO7:AO8" si="5">SUM(W7:AC7,AF7,AG7:AN7)</f>
        <v>0</v>
      </c>
      <c r="AP7" s="223"/>
      <c r="AQ7" s="314">
        <f t="shared" ref="AQ7:AQ8" si="6">SUM(AG7:AN7)*AP7*8%</f>
        <v>0</v>
      </c>
      <c r="AR7" s="312"/>
      <c r="AS7" s="304"/>
      <c r="AT7" s="304"/>
      <c r="AU7" s="315">
        <f t="shared" ref="AU7:AU8" si="7">SUM(V7,AO7*AP7,AQ7,AR7:AT7)</f>
        <v>0</v>
      </c>
      <c r="AV7" s="316">
        <f t="shared" ref="AV7:AV8" si="8">Q7+S7</f>
        <v>0</v>
      </c>
    </row>
    <row r="8" spans="1:48" ht="32.25" customHeight="1" x14ac:dyDescent="0.25">
      <c r="A8" s="79" t="str">
        <f>IF(ISBLANK(IMPORT!A8),"-",IMPORT!A8)</f>
        <v>-</v>
      </c>
      <c r="B8" s="221" t="str">
        <f>IF(ISBLANK(IMPORT!B8),"-",IMPORT!B8)</f>
        <v>-</v>
      </c>
      <c r="C8" s="79" t="str">
        <f>IF(ISBLANK(IMPORT!O8),"-",IMPORT!O8)</f>
        <v>-</v>
      </c>
      <c r="D8" s="78" t="str">
        <f>IF(ISBLANK(IMPORT!S8),"-",IMPORT!S8)</f>
        <v>-</v>
      </c>
      <c r="E8" s="80" t="str">
        <f>IF(ISBLANK(IMPORT!T8),"-",IMPORT!T8)</f>
        <v>-</v>
      </c>
      <c r="F8" s="80"/>
      <c r="G8" s="85" t="s">
        <v>186</v>
      </c>
      <c r="H8" s="297">
        <v>1516</v>
      </c>
      <c r="I8" s="89">
        <v>4.32</v>
      </c>
      <c r="J8" s="297">
        <v>1516</v>
      </c>
      <c r="K8" s="79" t="str">
        <f>IF(ISBLANK(IMPORT!L8),"-",IMPORT!L8)</f>
        <v>-</v>
      </c>
      <c r="L8" s="85">
        <f>IMPORT!M8</f>
        <v>0</v>
      </c>
      <c r="M8" s="80" t="str">
        <f>IF(ISBLANK(IMPORT!AB8),"-",IMPORT!AB8)</f>
        <v>-</v>
      </c>
      <c r="N8" s="298" t="str">
        <f>IF(ISBLANK(IMPORT!D8),"-",IMPORT!D8)</f>
        <v>-</v>
      </c>
      <c r="O8" s="333" t="str">
        <f>IF(ISBLANK(IMPORT!C8),"-",IMPORT!C8)</f>
        <v>-</v>
      </c>
      <c r="P8" s="300"/>
      <c r="Q8" s="223"/>
      <c r="R8" s="301"/>
      <c r="S8" s="302"/>
      <c r="T8" s="303"/>
      <c r="U8" s="92"/>
      <c r="V8" s="304"/>
      <c r="W8" s="305"/>
      <c r="X8" s="306"/>
      <c r="Y8" s="306"/>
      <c r="Z8" s="307"/>
      <c r="AA8" s="308"/>
      <c r="AB8" s="308"/>
      <c r="AC8" s="306"/>
      <c r="AD8" s="309"/>
      <c r="AE8" s="310"/>
      <c r="AF8" s="311"/>
      <c r="AG8" s="308"/>
      <c r="AH8" s="307"/>
      <c r="AI8" s="307"/>
      <c r="AJ8" s="307"/>
      <c r="AK8" s="306"/>
      <c r="AL8" s="306"/>
      <c r="AM8" s="306"/>
      <c r="AN8" s="304"/>
      <c r="AO8" s="334">
        <f t="shared" si="5"/>
        <v>0</v>
      </c>
      <c r="AP8" s="223"/>
      <c r="AQ8" s="314">
        <f t="shared" si="6"/>
        <v>0</v>
      </c>
      <c r="AR8" s="312"/>
      <c r="AS8" s="304"/>
      <c r="AT8" s="304"/>
      <c r="AU8" s="315">
        <f t="shared" si="7"/>
        <v>0</v>
      </c>
      <c r="AV8" s="316">
        <f t="shared" si="8"/>
        <v>0</v>
      </c>
    </row>
    <row r="9" spans="1:48" ht="12" customHeight="1" x14ac:dyDescent="0.25">
      <c r="A9" s="27"/>
      <c r="B9" s="94"/>
      <c r="C9" s="96"/>
      <c r="D9" s="96"/>
      <c r="E9" s="94"/>
      <c r="F9" s="94"/>
      <c r="G9" s="94"/>
      <c r="H9" s="27"/>
      <c r="I9" s="27"/>
      <c r="J9" s="27"/>
      <c r="K9" s="96"/>
      <c r="L9" s="97"/>
      <c r="M9" s="94"/>
      <c r="N9" s="97"/>
      <c r="O9" s="27"/>
      <c r="P9" s="94"/>
      <c r="Q9" s="27"/>
      <c r="R9" s="27"/>
      <c r="S9" s="27"/>
      <c r="T9" s="27"/>
      <c r="U9" s="96"/>
      <c r="V9" s="96"/>
      <c r="W9" s="96"/>
      <c r="X9" s="96"/>
      <c r="Y9" s="96"/>
      <c r="Z9" s="96"/>
      <c r="AA9" s="96"/>
      <c r="AB9" s="96"/>
      <c r="AC9" s="96"/>
      <c r="AD9" s="96"/>
      <c r="AE9" s="27"/>
      <c r="AF9" s="94"/>
      <c r="AG9" s="94"/>
      <c r="AH9" s="94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</row>
    <row r="10" spans="1:48" ht="21.75" customHeight="1" x14ac:dyDescent="0.25">
      <c r="A10" s="27"/>
      <c r="B10" s="94"/>
      <c r="C10" s="96"/>
      <c r="D10" s="96"/>
      <c r="E10" s="94"/>
      <c r="F10" s="94"/>
      <c r="G10" s="94"/>
      <c r="H10" s="27"/>
      <c r="I10" s="27"/>
      <c r="J10" s="27"/>
      <c r="K10" s="96"/>
      <c r="L10" s="97"/>
      <c r="M10" s="94"/>
      <c r="N10" s="97"/>
      <c r="O10" s="27"/>
      <c r="P10" s="94"/>
      <c r="Q10" s="27"/>
      <c r="R10" s="27"/>
      <c r="S10" s="27"/>
      <c r="T10" s="27"/>
      <c r="U10" s="96"/>
      <c r="V10" s="96"/>
      <c r="W10" s="335"/>
      <c r="X10" s="335"/>
      <c r="Y10" s="336">
        <f>SUBTOTAL(9,Y4:Y9)</f>
        <v>0</v>
      </c>
      <c r="Z10" s="336"/>
      <c r="AA10" s="335"/>
      <c r="AB10" s="335"/>
      <c r="AC10" s="335"/>
      <c r="AD10" s="335"/>
      <c r="AE10" s="337"/>
      <c r="AF10" s="338"/>
      <c r="AG10" s="338"/>
      <c r="AH10" s="338"/>
      <c r="AI10" s="336">
        <f>SUBTOTAL(9,AI4:AI9)</f>
        <v>114.81291765962564</v>
      </c>
      <c r="AJ10" s="337"/>
      <c r="AK10" s="337"/>
      <c r="AL10" s="337"/>
      <c r="AM10" s="337"/>
      <c r="AN10" s="337"/>
      <c r="AO10" s="337"/>
      <c r="AP10" s="27"/>
      <c r="AQ10" s="27"/>
      <c r="AR10" s="187"/>
      <c r="AS10" s="187"/>
      <c r="AT10" s="187"/>
      <c r="AU10" s="187">
        <f t="shared" ref="AU10:AV10" si="9">SUBTOTAL(9,AU4:AU9)</f>
        <v>120824135.90000001</v>
      </c>
      <c r="AV10" s="187">
        <f t="shared" si="9"/>
        <v>41866996</v>
      </c>
    </row>
    <row r="11" spans="1:48" ht="12" customHeight="1" x14ac:dyDescent="0.25">
      <c r="A11" s="27"/>
      <c r="B11" s="94"/>
      <c r="C11" s="96"/>
      <c r="D11" s="96"/>
      <c r="E11" s="94"/>
      <c r="F11" s="94"/>
      <c r="G11" s="94"/>
      <c r="H11" s="27"/>
      <c r="I11" s="27"/>
      <c r="J11" s="27"/>
      <c r="K11" s="96"/>
      <c r="L11" s="97"/>
      <c r="M11" s="94"/>
      <c r="N11" s="97"/>
      <c r="O11" s="27"/>
      <c r="P11" s="94"/>
      <c r="Q11" s="27"/>
      <c r="R11" s="27"/>
      <c r="S11" s="27"/>
      <c r="T11" s="27"/>
      <c r="U11" s="96"/>
      <c r="V11" s="96"/>
      <c r="W11" s="96"/>
      <c r="X11" s="96"/>
      <c r="Y11" s="96"/>
      <c r="Z11" s="96"/>
      <c r="AA11" s="96"/>
      <c r="AB11" s="96"/>
      <c r="AC11" s="96"/>
      <c r="AD11" s="96"/>
      <c r="AE11" s="27"/>
      <c r="AF11" s="94"/>
      <c r="AG11" s="94"/>
      <c r="AH11" s="94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</row>
    <row r="12" spans="1:48" ht="12" customHeight="1" x14ac:dyDescent="0.25">
      <c r="A12" s="27"/>
      <c r="B12" s="94"/>
      <c r="C12" s="96"/>
      <c r="D12" s="96"/>
      <c r="E12" s="94"/>
      <c r="F12" s="94"/>
      <c r="G12" s="94"/>
      <c r="H12" s="27"/>
      <c r="I12" s="27"/>
      <c r="J12" s="27"/>
      <c r="K12" s="96"/>
      <c r="L12" s="97"/>
      <c r="M12" s="94"/>
      <c r="N12" s="97"/>
      <c r="O12" s="27"/>
      <c r="P12" s="94"/>
      <c r="Q12" s="27"/>
      <c r="R12" s="27"/>
      <c r="S12" s="27"/>
      <c r="T12" s="27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27"/>
      <c r="AF12" s="94"/>
      <c r="AG12" s="94"/>
      <c r="AH12" s="94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</row>
    <row r="13" spans="1:48" ht="12" customHeight="1" x14ac:dyDescent="0.25">
      <c r="A13" s="27"/>
      <c r="B13" s="94"/>
      <c r="C13" s="96"/>
      <c r="D13" s="96"/>
      <c r="E13" s="94"/>
      <c r="F13" s="94"/>
      <c r="G13" s="94"/>
      <c r="H13" s="27"/>
      <c r="I13" s="27"/>
      <c r="J13" s="27"/>
      <c r="K13" s="96"/>
      <c r="L13" s="97"/>
      <c r="M13" s="94"/>
      <c r="N13" s="97"/>
      <c r="O13" s="27"/>
      <c r="P13" s="94"/>
      <c r="Q13" s="27"/>
      <c r="R13" s="27"/>
      <c r="S13" s="27"/>
      <c r="T13" s="27"/>
      <c r="U13" s="96"/>
      <c r="V13" s="96"/>
      <c r="W13" s="96"/>
      <c r="X13" s="96"/>
      <c r="Y13" s="96"/>
      <c r="Z13" s="96"/>
      <c r="AA13" s="96"/>
      <c r="AB13" s="96"/>
      <c r="AC13" s="96"/>
      <c r="AD13" s="96"/>
      <c r="AE13" s="27"/>
      <c r="AF13" s="94"/>
      <c r="AG13" s="94"/>
      <c r="AH13" s="94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</row>
    <row r="14" spans="1:48" ht="12" customHeight="1" x14ac:dyDescent="0.25">
      <c r="A14" s="27"/>
      <c r="B14" s="94"/>
      <c r="C14" s="96"/>
      <c r="D14" s="96"/>
      <c r="E14" s="94"/>
      <c r="F14" s="94"/>
      <c r="G14" s="94"/>
      <c r="H14" s="27"/>
      <c r="I14" s="27"/>
      <c r="J14" s="27"/>
      <c r="K14" s="96"/>
      <c r="L14" s="97"/>
      <c r="M14" s="94"/>
      <c r="N14" s="97"/>
      <c r="O14" s="27"/>
      <c r="P14" s="94"/>
      <c r="Q14" s="27"/>
      <c r="R14" s="27"/>
      <c r="S14" s="27"/>
      <c r="T14" s="27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27"/>
      <c r="AF14" s="94"/>
      <c r="AG14" s="94"/>
      <c r="AH14" s="94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</row>
    <row r="15" spans="1:48" ht="12" customHeight="1" x14ac:dyDescent="0.25">
      <c r="A15" s="27"/>
      <c r="B15" s="94"/>
      <c r="C15" s="96"/>
      <c r="D15" s="96"/>
      <c r="E15" s="94"/>
      <c r="F15" s="94"/>
      <c r="G15" s="94"/>
      <c r="H15" s="27"/>
      <c r="I15" s="27"/>
      <c r="J15" s="27"/>
      <c r="K15" s="96"/>
      <c r="L15" s="97"/>
      <c r="M15" s="94"/>
      <c r="N15" s="97"/>
      <c r="O15" s="27"/>
      <c r="P15" s="94"/>
      <c r="Q15" s="27"/>
      <c r="R15" s="27"/>
      <c r="S15" s="27"/>
      <c r="T15" s="27"/>
      <c r="U15" s="96"/>
      <c r="V15" s="96"/>
      <c r="W15" s="96"/>
      <c r="X15" s="96"/>
      <c r="Y15" s="96"/>
      <c r="Z15" s="96"/>
      <c r="AA15" s="96"/>
      <c r="AB15" s="96"/>
      <c r="AC15" s="96"/>
      <c r="AD15" s="96"/>
      <c r="AE15" s="27"/>
      <c r="AF15" s="94"/>
      <c r="AG15" s="94"/>
      <c r="AH15" s="94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</row>
    <row r="16" spans="1:48" ht="12" customHeight="1" x14ac:dyDescent="0.25">
      <c r="A16" s="27"/>
      <c r="B16" s="94"/>
      <c r="C16" s="96"/>
      <c r="D16" s="96"/>
      <c r="E16" s="94"/>
      <c r="F16" s="94"/>
      <c r="G16" s="94"/>
      <c r="H16" s="27"/>
      <c r="I16" s="27"/>
      <c r="J16" s="27"/>
      <c r="K16" s="96"/>
      <c r="L16" s="97"/>
      <c r="M16" s="94"/>
      <c r="N16" s="97"/>
      <c r="O16" s="27"/>
      <c r="P16" s="94"/>
      <c r="Q16" s="27"/>
      <c r="R16" s="27"/>
      <c r="S16" s="27"/>
      <c r="T16" s="27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27"/>
      <c r="AF16" s="94"/>
      <c r="AG16" s="94"/>
      <c r="AH16" s="94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</row>
    <row r="17" spans="1:48" ht="12" customHeight="1" x14ac:dyDescent="0.25">
      <c r="A17" s="27"/>
      <c r="B17" s="94"/>
      <c r="C17" s="96"/>
      <c r="D17" s="96"/>
      <c r="E17" s="94"/>
      <c r="F17" s="94"/>
      <c r="G17" s="94"/>
      <c r="H17" s="27"/>
      <c r="I17" s="27"/>
      <c r="J17" s="27"/>
      <c r="K17" s="96"/>
      <c r="L17" s="97"/>
      <c r="M17" s="94"/>
      <c r="N17" s="97"/>
      <c r="O17" s="27"/>
      <c r="P17" s="94"/>
      <c r="Q17" s="27"/>
      <c r="R17" s="27"/>
      <c r="S17" s="27"/>
      <c r="T17" s="27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27"/>
      <c r="AF17" s="94"/>
      <c r="AG17" s="94"/>
      <c r="AH17" s="94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</row>
    <row r="18" spans="1:48" ht="12" customHeight="1" x14ac:dyDescent="0.25">
      <c r="A18" s="27"/>
      <c r="B18" s="94"/>
      <c r="C18" s="96"/>
      <c r="D18" s="96"/>
      <c r="E18" s="94"/>
      <c r="F18" s="94"/>
      <c r="G18" s="94"/>
      <c r="H18" s="27"/>
      <c r="I18" s="27"/>
      <c r="J18" s="27"/>
      <c r="K18" s="96"/>
      <c r="L18" s="97"/>
      <c r="M18" s="94"/>
      <c r="N18" s="97"/>
      <c r="O18" s="27"/>
      <c r="P18" s="94"/>
      <c r="Q18" s="27"/>
      <c r="R18" s="27"/>
      <c r="S18" s="27"/>
      <c r="T18" s="27"/>
      <c r="U18" s="96"/>
      <c r="V18" s="96"/>
      <c r="W18" s="96"/>
      <c r="X18" s="96"/>
      <c r="Y18" s="96"/>
      <c r="Z18" s="96"/>
      <c r="AA18" s="96"/>
      <c r="AB18" s="96"/>
      <c r="AC18" s="96"/>
      <c r="AD18" s="96"/>
      <c r="AE18" s="27"/>
      <c r="AF18" s="94"/>
      <c r="AG18" s="94"/>
      <c r="AH18" s="94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</row>
    <row r="19" spans="1:48" ht="12" customHeight="1" x14ac:dyDescent="0.25">
      <c r="A19" s="27"/>
      <c r="B19" s="94"/>
      <c r="C19" s="96"/>
      <c r="D19" s="96"/>
      <c r="E19" s="94"/>
      <c r="F19" s="94"/>
      <c r="G19" s="94"/>
      <c r="H19" s="27"/>
      <c r="I19" s="27"/>
      <c r="J19" s="27"/>
      <c r="K19" s="96"/>
      <c r="L19" s="97"/>
      <c r="M19" s="94"/>
      <c r="N19" s="97"/>
      <c r="O19" s="27"/>
      <c r="P19" s="94"/>
      <c r="Q19" s="27"/>
      <c r="R19" s="27"/>
      <c r="S19" s="27"/>
      <c r="T19" s="27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27"/>
      <c r="AF19" s="94"/>
      <c r="AG19" s="94"/>
      <c r="AH19" s="94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</row>
    <row r="20" spans="1:48" ht="12" customHeight="1" x14ac:dyDescent="0.25">
      <c r="A20" s="27"/>
      <c r="B20" s="94"/>
      <c r="C20" s="96"/>
      <c r="D20" s="96"/>
      <c r="E20" s="94"/>
      <c r="F20" s="94"/>
      <c r="G20" s="94"/>
      <c r="H20" s="27"/>
      <c r="I20" s="27"/>
      <c r="J20" s="27"/>
      <c r="K20" s="96"/>
      <c r="L20" s="97"/>
      <c r="M20" s="94"/>
      <c r="N20" s="97"/>
      <c r="O20" s="27"/>
      <c r="P20" s="94"/>
      <c r="Q20" s="27"/>
      <c r="R20" s="27"/>
      <c r="S20" s="27"/>
      <c r="T20" s="27"/>
      <c r="U20" s="96"/>
      <c r="V20" s="96"/>
      <c r="W20" s="96"/>
      <c r="X20" s="96"/>
      <c r="Y20" s="96"/>
      <c r="Z20" s="96"/>
      <c r="AA20" s="96"/>
      <c r="AB20" s="96"/>
      <c r="AC20" s="96"/>
      <c r="AD20" s="96"/>
      <c r="AE20" s="27"/>
      <c r="AF20" s="94"/>
      <c r="AG20" s="94"/>
      <c r="AH20" s="94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</row>
    <row r="21" spans="1:48" ht="12" customHeight="1" x14ac:dyDescent="0.25">
      <c r="A21" s="27"/>
      <c r="B21" s="94"/>
      <c r="C21" s="96"/>
      <c r="D21" s="96"/>
      <c r="E21" s="94"/>
      <c r="F21" s="94"/>
      <c r="G21" s="94"/>
      <c r="H21" s="27"/>
      <c r="I21" s="27"/>
      <c r="J21" s="27"/>
      <c r="K21" s="96"/>
      <c r="L21" s="97"/>
      <c r="M21" s="94"/>
      <c r="N21" s="97"/>
      <c r="O21" s="27"/>
      <c r="P21" s="94"/>
      <c r="Q21" s="27"/>
      <c r="R21" s="27"/>
      <c r="S21" s="27"/>
      <c r="T21" s="27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27"/>
      <c r="AF21" s="94"/>
      <c r="AG21" s="94"/>
      <c r="AH21" s="94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</row>
    <row r="22" spans="1:48" ht="12" customHeight="1" x14ac:dyDescent="0.25">
      <c r="A22" s="27"/>
      <c r="B22" s="94"/>
      <c r="C22" s="96"/>
      <c r="D22" s="96"/>
      <c r="E22" s="94"/>
      <c r="F22" s="94"/>
      <c r="G22" s="94"/>
      <c r="H22" s="27"/>
      <c r="I22" s="27"/>
      <c r="J22" s="27"/>
      <c r="K22" s="96"/>
      <c r="L22" s="97"/>
      <c r="M22" s="94"/>
      <c r="N22" s="97"/>
      <c r="O22" s="27"/>
      <c r="P22" s="94"/>
      <c r="Q22" s="27"/>
      <c r="R22" s="27"/>
      <c r="S22" s="27"/>
      <c r="T22" s="27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27"/>
      <c r="AF22" s="94"/>
      <c r="AG22" s="94"/>
      <c r="AH22" s="94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</row>
    <row r="23" spans="1:48" ht="12" customHeight="1" x14ac:dyDescent="0.25">
      <c r="A23" s="27"/>
      <c r="B23" s="94"/>
      <c r="C23" s="96"/>
      <c r="D23" s="96"/>
      <c r="E23" s="94"/>
      <c r="F23" s="94"/>
      <c r="G23" s="94"/>
      <c r="H23" s="27"/>
      <c r="I23" s="27"/>
      <c r="J23" s="27"/>
      <c r="K23" s="96"/>
      <c r="L23" s="97"/>
      <c r="M23" s="94"/>
      <c r="N23" s="97"/>
      <c r="O23" s="27"/>
      <c r="P23" s="94"/>
      <c r="Q23" s="27"/>
      <c r="R23" s="27"/>
      <c r="S23" s="27"/>
      <c r="T23" s="27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27"/>
      <c r="AF23" s="94"/>
      <c r="AG23" s="94"/>
      <c r="AH23" s="94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</row>
    <row r="24" spans="1:48" ht="12" customHeight="1" x14ac:dyDescent="0.25">
      <c r="A24" s="27"/>
      <c r="B24" s="94"/>
      <c r="C24" s="96"/>
      <c r="D24" s="96"/>
      <c r="E24" s="94"/>
      <c r="F24" s="94"/>
      <c r="G24" s="94"/>
      <c r="H24" s="27"/>
      <c r="I24" s="27"/>
      <c r="J24" s="27"/>
      <c r="K24" s="96"/>
      <c r="L24" s="97"/>
      <c r="M24" s="94"/>
      <c r="N24" s="97"/>
      <c r="O24" s="27"/>
      <c r="P24" s="94"/>
      <c r="Q24" s="27"/>
      <c r="R24" s="27"/>
      <c r="S24" s="27"/>
      <c r="T24" s="27"/>
      <c r="U24" s="96"/>
      <c r="V24" s="96"/>
      <c r="W24" s="96"/>
      <c r="X24" s="96"/>
      <c r="Y24" s="96"/>
      <c r="Z24" s="96"/>
      <c r="AA24" s="96"/>
      <c r="AB24" s="96"/>
      <c r="AC24" s="96"/>
      <c r="AD24" s="96"/>
      <c r="AE24" s="27"/>
      <c r="AF24" s="94"/>
      <c r="AG24" s="94"/>
      <c r="AH24" s="94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</row>
    <row r="25" spans="1:48" ht="12" customHeight="1" x14ac:dyDescent="0.25">
      <c r="A25" s="27"/>
      <c r="B25" s="94"/>
      <c r="C25" s="96"/>
      <c r="D25" s="96"/>
      <c r="E25" s="94"/>
      <c r="F25" s="94"/>
      <c r="G25" s="94"/>
      <c r="H25" s="27"/>
      <c r="I25" s="27"/>
      <c r="J25" s="27"/>
      <c r="K25" s="96"/>
      <c r="L25" s="97"/>
      <c r="M25" s="94"/>
      <c r="N25" s="97"/>
      <c r="O25" s="27"/>
      <c r="P25" s="94"/>
      <c r="Q25" s="27"/>
      <c r="R25" s="27"/>
      <c r="S25" s="27"/>
      <c r="T25" s="27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27"/>
      <c r="AF25" s="94"/>
      <c r="AG25" s="94"/>
      <c r="AH25" s="94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</row>
    <row r="26" spans="1:48" ht="12" customHeight="1" x14ac:dyDescent="0.25">
      <c r="A26" s="27"/>
      <c r="B26" s="94"/>
      <c r="C26" s="96"/>
      <c r="D26" s="96"/>
      <c r="E26" s="94"/>
      <c r="F26" s="94"/>
      <c r="G26" s="94"/>
      <c r="H26" s="27"/>
      <c r="I26" s="27"/>
      <c r="J26" s="27"/>
      <c r="K26" s="96"/>
      <c r="L26" s="97"/>
      <c r="M26" s="94"/>
      <c r="N26" s="97"/>
      <c r="O26" s="27"/>
      <c r="P26" s="94"/>
      <c r="Q26" s="27"/>
      <c r="R26" s="27"/>
      <c r="S26" s="27"/>
      <c r="T26" s="27"/>
      <c r="U26" s="96"/>
      <c r="V26" s="96"/>
      <c r="W26" s="96"/>
      <c r="X26" s="96"/>
      <c r="Y26" s="96"/>
      <c r="Z26" s="96"/>
      <c r="AA26" s="96"/>
      <c r="AB26" s="96"/>
      <c r="AC26" s="96"/>
      <c r="AD26" s="96"/>
      <c r="AE26" s="27"/>
      <c r="AF26" s="94"/>
      <c r="AG26" s="94"/>
      <c r="AH26" s="94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</row>
    <row r="27" spans="1:48" ht="12" customHeight="1" x14ac:dyDescent="0.25">
      <c r="A27" s="27"/>
      <c r="B27" s="94"/>
      <c r="C27" s="96"/>
      <c r="D27" s="96"/>
      <c r="E27" s="94"/>
      <c r="F27" s="94"/>
      <c r="G27" s="94"/>
      <c r="H27" s="27"/>
      <c r="I27" s="27"/>
      <c r="J27" s="27"/>
      <c r="K27" s="96"/>
      <c r="L27" s="97"/>
      <c r="M27" s="94"/>
      <c r="N27" s="97"/>
      <c r="O27" s="27"/>
      <c r="P27" s="94"/>
      <c r="Q27" s="27"/>
      <c r="R27" s="27"/>
      <c r="S27" s="27"/>
      <c r="T27" s="27"/>
      <c r="U27" s="96"/>
      <c r="V27" s="96"/>
      <c r="W27" s="96"/>
      <c r="X27" s="96"/>
      <c r="Y27" s="96"/>
      <c r="Z27" s="96"/>
      <c r="AA27" s="96"/>
      <c r="AB27" s="96"/>
      <c r="AC27" s="96"/>
      <c r="AD27" s="96"/>
      <c r="AE27" s="27"/>
      <c r="AF27" s="94"/>
      <c r="AG27" s="94"/>
      <c r="AH27" s="94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</row>
    <row r="28" spans="1:48" ht="12" customHeight="1" x14ac:dyDescent="0.25">
      <c r="A28" s="27"/>
      <c r="B28" s="94"/>
      <c r="C28" s="96"/>
      <c r="D28" s="96"/>
      <c r="E28" s="94"/>
      <c r="F28" s="94"/>
      <c r="G28" s="94"/>
      <c r="H28" s="27"/>
      <c r="I28" s="27"/>
      <c r="J28" s="27"/>
      <c r="K28" s="96"/>
      <c r="L28" s="97"/>
      <c r="M28" s="94"/>
      <c r="N28" s="97"/>
      <c r="O28" s="27"/>
      <c r="P28" s="94"/>
      <c r="Q28" s="27"/>
      <c r="R28" s="27"/>
      <c r="S28" s="27"/>
      <c r="T28" s="27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27"/>
      <c r="AF28" s="94"/>
      <c r="AG28" s="94"/>
      <c r="AH28" s="94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</row>
    <row r="29" spans="1:48" ht="12" customHeight="1" x14ac:dyDescent="0.25">
      <c r="A29" s="27"/>
      <c r="B29" s="94"/>
      <c r="C29" s="96"/>
      <c r="D29" s="96"/>
      <c r="E29" s="94"/>
      <c r="F29" s="94"/>
      <c r="G29" s="94"/>
      <c r="H29" s="27"/>
      <c r="I29" s="27"/>
      <c r="J29" s="27"/>
      <c r="K29" s="96"/>
      <c r="L29" s="97"/>
      <c r="M29" s="94"/>
      <c r="N29" s="97"/>
      <c r="O29" s="27"/>
      <c r="P29" s="94"/>
      <c r="Q29" s="27"/>
      <c r="R29" s="27"/>
      <c r="S29" s="27"/>
      <c r="T29" s="27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27"/>
      <c r="AF29" s="94"/>
      <c r="AG29" s="94"/>
      <c r="AH29" s="94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</row>
    <row r="30" spans="1:48" ht="12" customHeight="1" x14ac:dyDescent="0.25">
      <c r="A30" s="27"/>
      <c r="B30" s="94"/>
      <c r="C30" s="96"/>
      <c r="D30" s="96"/>
      <c r="E30" s="94"/>
      <c r="F30" s="94"/>
      <c r="G30" s="94"/>
      <c r="H30" s="27"/>
      <c r="I30" s="27"/>
      <c r="J30" s="27"/>
      <c r="K30" s="96"/>
      <c r="L30" s="97"/>
      <c r="M30" s="94"/>
      <c r="N30" s="97"/>
      <c r="O30" s="27"/>
      <c r="P30" s="94"/>
      <c r="Q30" s="27"/>
      <c r="R30" s="27"/>
      <c r="S30" s="27"/>
      <c r="T30" s="27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27"/>
      <c r="AF30" s="94"/>
      <c r="AG30" s="94"/>
      <c r="AH30" s="94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</row>
    <row r="31" spans="1:48" ht="12" customHeight="1" x14ac:dyDescent="0.25">
      <c r="A31" s="27"/>
      <c r="B31" s="94"/>
      <c r="C31" s="96"/>
      <c r="D31" s="96"/>
      <c r="E31" s="94"/>
      <c r="F31" s="94"/>
      <c r="G31" s="94"/>
      <c r="H31" s="27"/>
      <c r="I31" s="27"/>
      <c r="J31" s="27"/>
      <c r="K31" s="96"/>
      <c r="L31" s="97"/>
      <c r="M31" s="94"/>
      <c r="N31" s="97"/>
      <c r="O31" s="27"/>
      <c r="P31" s="94"/>
      <c r="Q31" s="27"/>
      <c r="R31" s="27"/>
      <c r="S31" s="27"/>
      <c r="T31" s="27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27"/>
      <c r="AF31" s="94"/>
      <c r="AG31" s="94"/>
      <c r="AH31" s="94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</row>
    <row r="32" spans="1:48" ht="12" customHeight="1" x14ac:dyDescent="0.25">
      <c r="A32" s="27"/>
      <c r="B32" s="94"/>
      <c r="C32" s="96"/>
      <c r="D32" s="96"/>
      <c r="E32" s="94"/>
      <c r="F32" s="94"/>
      <c r="G32" s="94"/>
      <c r="H32" s="27"/>
      <c r="I32" s="27"/>
      <c r="J32" s="27"/>
      <c r="K32" s="96"/>
      <c r="L32" s="97"/>
      <c r="M32" s="94"/>
      <c r="N32" s="97"/>
      <c r="O32" s="27"/>
      <c r="P32" s="94"/>
      <c r="Q32" s="27"/>
      <c r="R32" s="27"/>
      <c r="S32" s="27"/>
      <c r="T32" s="27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27"/>
      <c r="AF32" s="94"/>
      <c r="AG32" s="94"/>
      <c r="AH32" s="94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</row>
    <row r="33" spans="1:48" ht="12" customHeight="1" x14ac:dyDescent="0.25">
      <c r="A33" s="27"/>
      <c r="B33" s="94"/>
      <c r="C33" s="96"/>
      <c r="D33" s="96"/>
      <c r="E33" s="94"/>
      <c r="F33" s="94"/>
      <c r="G33" s="94"/>
      <c r="H33" s="27"/>
      <c r="I33" s="27"/>
      <c r="J33" s="27"/>
      <c r="K33" s="96"/>
      <c r="L33" s="97"/>
      <c r="M33" s="94"/>
      <c r="N33" s="97"/>
      <c r="O33" s="27"/>
      <c r="P33" s="94"/>
      <c r="Q33" s="27"/>
      <c r="R33" s="27"/>
      <c r="S33" s="27"/>
      <c r="T33" s="27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27"/>
      <c r="AF33" s="94"/>
      <c r="AG33" s="94"/>
      <c r="AH33" s="94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</row>
    <row r="34" spans="1:48" ht="12" customHeight="1" x14ac:dyDescent="0.25">
      <c r="A34" s="27"/>
      <c r="B34" s="94"/>
      <c r="C34" s="96"/>
      <c r="D34" s="96"/>
      <c r="E34" s="94"/>
      <c r="F34" s="94"/>
      <c r="G34" s="94"/>
      <c r="H34" s="27"/>
      <c r="I34" s="27"/>
      <c r="J34" s="27"/>
      <c r="K34" s="96"/>
      <c r="L34" s="97"/>
      <c r="M34" s="94"/>
      <c r="N34" s="97"/>
      <c r="O34" s="27"/>
      <c r="P34" s="94"/>
      <c r="Q34" s="27"/>
      <c r="R34" s="27"/>
      <c r="S34" s="27"/>
      <c r="T34" s="27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27"/>
      <c r="AF34" s="94"/>
      <c r="AG34" s="94"/>
      <c r="AH34" s="94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</row>
    <row r="35" spans="1:48" ht="12" customHeight="1" x14ac:dyDescent="0.25">
      <c r="A35" s="27"/>
      <c r="B35" s="94"/>
      <c r="C35" s="96"/>
      <c r="D35" s="96"/>
      <c r="E35" s="94"/>
      <c r="F35" s="94"/>
      <c r="G35" s="94"/>
      <c r="H35" s="27"/>
      <c r="I35" s="27"/>
      <c r="J35" s="27"/>
      <c r="K35" s="96"/>
      <c r="L35" s="97"/>
      <c r="M35" s="94"/>
      <c r="N35" s="97"/>
      <c r="O35" s="27"/>
      <c r="P35" s="94"/>
      <c r="Q35" s="27"/>
      <c r="R35" s="27"/>
      <c r="S35" s="27"/>
      <c r="T35" s="27"/>
      <c r="U35" s="96"/>
      <c r="V35" s="96"/>
      <c r="W35" s="96"/>
      <c r="X35" s="96"/>
      <c r="Y35" s="96"/>
      <c r="Z35" s="96"/>
      <c r="AA35" s="96"/>
      <c r="AB35" s="96"/>
      <c r="AC35" s="96"/>
      <c r="AD35" s="96"/>
      <c r="AE35" s="27"/>
      <c r="AF35" s="94"/>
      <c r="AG35" s="94"/>
      <c r="AH35" s="94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</row>
    <row r="36" spans="1:48" ht="12" customHeight="1" x14ac:dyDescent="0.25">
      <c r="A36" s="27"/>
      <c r="B36" s="94"/>
      <c r="C36" s="96"/>
      <c r="D36" s="96"/>
      <c r="E36" s="94"/>
      <c r="F36" s="94"/>
      <c r="G36" s="94"/>
      <c r="H36" s="27"/>
      <c r="I36" s="27"/>
      <c r="J36" s="27"/>
      <c r="K36" s="96"/>
      <c r="L36" s="97"/>
      <c r="M36" s="94"/>
      <c r="N36" s="97"/>
      <c r="O36" s="27"/>
      <c r="P36" s="94"/>
      <c r="Q36" s="27"/>
      <c r="R36" s="27"/>
      <c r="S36" s="27"/>
      <c r="T36" s="27"/>
      <c r="U36" s="96"/>
      <c r="V36" s="96"/>
      <c r="W36" s="96"/>
      <c r="X36" s="96"/>
      <c r="Y36" s="96"/>
      <c r="Z36" s="96"/>
      <c r="AA36" s="96"/>
      <c r="AB36" s="96"/>
      <c r="AC36" s="96"/>
      <c r="AD36" s="96"/>
      <c r="AE36" s="27"/>
      <c r="AF36" s="94"/>
      <c r="AG36" s="94"/>
      <c r="AH36" s="94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</row>
    <row r="37" spans="1:48" ht="12" customHeight="1" x14ac:dyDescent="0.25">
      <c r="A37" s="27"/>
      <c r="B37" s="94"/>
      <c r="C37" s="96"/>
      <c r="D37" s="96"/>
      <c r="E37" s="94"/>
      <c r="F37" s="94"/>
      <c r="G37" s="94"/>
      <c r="H37" s="27"/>
      <c r="I37" s="27"/>
      <c r="J37" s="27"/>
      <c r="K37" s="96"/>
      <c r="L37" s="97"/>
      <c r="M37" s="94"/>
      <c r="N37" s="97"/>
      <c r="O37" s="27"/>
      <c r="P37" s="94"/>
      <c r="Q37" s="27"/>
      <c r="R37" s="27"/>
      <c r="S37" s="27"/>
      <c r="T37" s="27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27"/>
      <c r="AF37" s="94"/>
      <c r="AG37" s="94"/>
      <c r="AH37" s="94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</row>
    <row r="38" spans="1:48" ht="12" customHeight="1" x14ac:dyDescent="0.25">
      <c r="A38" s="27"/>
      <c r="B38" s="94"/>
      <c r="C38" s="96"/>
      <c r="D38" s="96"/>
      <c r="E38" s="94"/>
      <c r="F38" s="94"/>
      <c r="G38" s="94"/>
      <c r="H38" s="27"/>
      <c r="I38" s="27"/>
      <c r="J38" s="27"/>
      <c r="K38" s="96"/>
      <c r="L38" s="97"/>
      <c r="M38" s="94"/>
      <c r="N38" s="97"/>
      <c r="O38" s="27"/>
      <c r="P38" s="94"/>
      <c r="Q38" s="27"/>
      <c r="R38" s="27"/>
      <c r="S38" s="27"/>
      <c r="T38" s="27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27"/>
      <c r="AF38" s="94"/>
      <c r="AG38" s="94"/>
      <c r="AH38" s="94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</row>
    <row r="39" spans="1:48" ht="12" customHeight="1" x14ac:dyDescent="0.25">
      <c r="A39" s="27"/>
      <c r="B39" s="94"/>
      <c r="C39" s="96"/>
      <c r="D39" s="96"/>
      <c r="E39" s="94"/>
      <c r="F39" s="94"/>
      <c r="G39" s="94"/>
      <c r="H39" s="27"/>
      <c r="I39" s="27"/>
      <c r="J39" s="27"/>
      <c r="K39" s="96"/>
      <c r="L39" s="97"/>
      <c r="M39" s="94"/>
      <c r="N39" s="97"/>
      <c r="O39" s="27"/>
      <c r="P39" s="94"/>
      <c r="Q39" s="27"/>
      <c r="R39" s="27"/>
      <c r="S39" s="27"/>
      <c r="T39" s="27"/>
      <c r="U39" s="96"/>
      <c r="V39" s="96"/>
      <c r="W39" s="96"/>
      <c r="X39" s="96"/>
      <c r="Y39" s="96"/>
      <c r="Z39" s="96"/>
      <c r="AA39" s="96"/>
      <c r="AB39" s="96"/>
      <c r="AC39" s="96"/>
      <c r="AD39" s="96"/>
      <c r="AE39" s="27"/>
      <c r="AF39" s="94"/>
      <c r="AG39" s="94"/>
      <c r="AH39" s="94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</row>
    <row r="40" spans="1:48" ht="12" customHeight="1" x14ac:dyDescent="0.25">
      <c r="A40" s="27"/>
      <c r="B40" s="94"/>
      <c r="C40" s="96"/>
      <c r="D40" s="96"/>
      <c r="E40" s="94"/>
      <c r="F40" s="94"/>
      <c r="G40" s="94"/>
      <c r="H40" s="27"/>
      <c r="I40" s="27"/>
      <c r="J40" s="27"/>
      <c r="K40" s="96"/>
      <c r="L40" s="97"/>
      <c r="M40" s="94"/>
      <c r="N40" s="97"/>
      <c r="O40" s="27"/>
      <c r="P40" s="94"/>
      <c r="Q40" s="27"/>
      <c r="R40" s="27"/>
      <c r="S40" s="27"/>
      <c r="T40" s="27"/>
      <c r="U40" s="96"/>
      <c r="V40" s="96"/>
      <c r="W40" s="96"/>
      <c r="X40" s="96"/>
      <c r="Y40" s="96"/>
      <c r="Z40" s="96"/>
      <c r="AA40" s="96"/>
      <c r="AB40" s="96"/>
      <c r="AC40" s="96"/>
      <c r="AD40" s="96"/>
      <c r="AE40" s="27"/>
      <c r="AF40" s="94"/>
      <c r="AG40" s="94"/>
      <c r="AH40" s="94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</row>
    <row r="41" spans="1:48" ht="12" customHeight="1" x14ac:dyDescent="0.25">
      <c r="A41" s="27"/>
      <c r="B41" s="94"/>
      <c r="C41" s="96"/>
      <c r="D41" s="96"/>
      <c r="E41" s="94"/>
      <c r="F41" s="94"/>
      <c r="G41" s="94"/>
      <c r="H41" s="27"/>
      <c r="I41" s="27"/>
      <c r="J41" s="27"/>
      <c r="K41" s="96"/>
      <c r="L41" s="97"/>
      <c r="M41" s="94"/>
      <c r="N41" s="97"/>
      <c r="O41" s="27"/>
      <c r="P41" s="94"/>
      <c r="Q41" s="27"/>
      <c r="R41" s="27"/>
      <c r="S41" s="27"/>
      <c r="T41" s="27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27"/>
      <c r="AF41" s="94"/>
      <c r="AG41" s="94"/>
      <c r="AH41" s="94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</row>
    <row r="42" spans="1:48" ht="12" customHeight="1" x14ac:dyDescent="0.25">
      <c r="A42" s="27"/>
      <c r="B42" s="94"/>
      <c r="C42" s="96"/>
      <c r="D42" s="96"/>
      <c r="E42" s="94"/>
      <c r="F42" s="94"/>
      <c r="G42" s="94"/>
      <c r="H42" s="27"/>
      <c r="I42" s="27"/>
      <c r="J42" s="27"/>
      <c r="K42" s="96"/>
      <c r="L42" s="97"/>
      <c r="M42" s="94"/>
      <c r="N42" s="97"/>
      <c r="O42" s="27"/>
      <c r="P42" s="94"/>
      <c r="Q42" s="27"/>
      <c r="R42" s="27"/>
      <c r="S42" s="27"/>
      <c r="T42" s="27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27"/>
      <c r="AF42" s="94"/>
      <c r="AG42" s="94"/>
      <c r="AH42" s="94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</row>
    <row r="43" spans="1:48" ht="12" customHeight="1" x14ac:dyDescent="0.25">
      <c r="A43" s="27"/>
      <c r="B43" s="94"/>
      <c r="C43" s="96"/>
      <c r="D43" s="96"/>
      <c r="E43" s="94"/>
      <c r="F43" s="94"/>
      <c r="G43" s="94"/>
      <c r="H43" s="27"/>
      <c r="I43" s="27"/>
      <c r="J43" s="27"/>
      <c r="K43" s="96"/>
      <c r="L43" s="97"/>
      <c r="M43" s="94"/>
      <c r="N43" s="97"/>
      <c r="O43" s="27"/>
      <c r="P43" s="94"/>
      <c r="Q43" s="27"/>
      <c r="R43" s="27"/>
      <c r="S43" s="27"/>
      <c r="T43" s="27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27"/>
      <c r="AF43" s="94"/>
      <c r="AG43" s="94"/>
      <c r="AH43" s="94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</row>
    <row r="44" spans="1:48" ht="12" customHeight="1" x14ac:dyDescent="0.25">
      <c r="A44" s="27"/>
      <c r="B44" s="94"/>
      <c r="C44" s="96"/>
      <c r="D44" s="96"/>
      <c r="E44" s="94"/>
      <c r="F44" s="94"/>
      <c r="G44" s="94"/>
      <c r="H44" s="27"/>
      <c r="I44" s="27"/>
      <c r="J44" s="27"/>
      <c r="K44" s="96"/>
      <c r="L44" s="97"/>
      <c r="M44" s="94"/>
      <c r="N44" s="97"/>
      <c r="O44" s="27"/>
      <c r="P44" s="94"/>
      <c r="Q44" s="27"/>
      <c r="R44" s="27"/>
      <c r="S44" s="27"/>
      <c r="T44" s="27"/>
      <c r="U44" s="96"/>
      <c r="V44" s="96"/>
      <c r="W44" s="96"/>
      <c r="X44" s="96"/>
      <c r="Y44" s="96"/>
      <c r="Z44" s="96"/>
      <c r="AA44" s="96"/>
      <c r="AB44" s="96"/>
      <c r="AC44" s="96"/>
      <c r="AD44" s="96"/>
      <c r="AE44" s="27"/>
      <c r="AF44" s="94"/>
      <c r="AG44" s="94"/>
      <c r="AH44" s="94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</row>
    <row r="45" spans="1:48" ht="12" customHeight="1" x14ac:dyDescent="0.25">
      <c r="A45" s="27"/>
      <c r="B45" s="94"/>
      <c r="C45" s="96"/>
      <c r="D45" s="96"/>
      <c r="E45" s="94"/>
      <c r="F45" s="94"/>
      <c r="G45" s="94"/>
      <c r="H45" s="27"/>
      <c r="I45" s="27"/>
      <c r="J45" s="27"/>
      <c r="K45" s="96"/>
      <c r="L45" s="97"/>
      <c r="M45" s="94"/>
      <c r="N45" s="97"/>
      <c r="O45" s="27"/>
      <c r="P45" s="94"/>
      <c r="Q45" s="27"/>
      <c r="R45" s="27"/>
      <c r="S45" s="27"/>
      <c r="T45" s="27"/>
      <c r="U45" s="96"/>
      <c r="V45" s="96"/>
      <c r="W45" s="96"/>
      <c r="X45" s="96"/>
      <c r="Y45" s="96"/>
      <c r="Z45" s="96"/>
      <c r="AA45" s="96"/>
      <c r="AB45" s="96"/>
      <c r="AC45" s="96"/>
      <c r="AD45" s="96"/>
      <c r="AE45" s="27"/>
      <c r="AF45" s="94"/>
      <c r="AG45" s="94"/>
      <c r="AH45" s="94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</row>
    <row r="46" spans="1:48" ht="12" customHeight="1" x14ac:dyDescent="0.25">
      <c r="A46" s="27"/>
      <c r="B46" s="94"/>
      <c r="C46" s="96"/>
      <c r="D46" s="96"/>
      <c r="E46" s="94"/>
      <c r="F46" s="94"/>
      <c r="G46" s="94"/>
      <c r="H46" s="27"/>
      <c r="I46" s="27"/>
      <c r="J46" s="27"/>
      <c r="K46" s="96"/>
      <c r="L46" s="97"/>
      <c r="M46" s="94"/>
      <c r="N46" s="97"/>
      <c r="O46" s="27"/>
      <c r="P46" s="94"/>
      <c r="Q46" s="27"/>
      <c r="R46" s="27"/>
      <c r="S46" s="27"/>
      <c r="T46" s="27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27"/>
      <c r="AF46" s="94"/>
      <c r="AG46" s="94"/>
      <c r="AH46" s="94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</row>
    <row r="47" spans="1:48" ht="12" customHeight="1" x14ac:dyDescent="0.25">
      <c r="A47" s="27"/>
      <c r="B47" s="94"/>
      <c r="C47" s="96"/>
      <c r="D47" s="96"/>
      <c r="E47" s="94"/>
      <c r="F47" s="94"/>
      <c r="G47" s="94"/>
      <c r="H47" s="27"/>
      <c r="I47" s="27"/>
      <c r="J47" s="27"/>
      <c r="K47" s="96"/>
      <c r="L47" s="97"/>
      <c r="M47" s="94"/>
      <c r="N47" s="97"/>
      <c r="O47" s="27"/>
      <c r="P47" s="94"/>
      <c r="Q47" s="27"/>
      <c r="R47" s="27"/>
      <c r="S47" s="27"/>
      <c r="T47" s="27"/>
      <c r="U47" s="96"/>
      <c r="V47" s="96"/>
      <c r="W47" s="96"/>
      <c r="X47" s="96"/>
      <c r="Y47" s="96"/>
      <c r="Z47" s="96"/>
      <c r="AA47" s="96"/>
      <c r="AB47" s="96"/>
      <c r="AC47" s="96"/>
      <c r="AD47" s="96"/>
      <c r="AE47" s="27"/>
      <c r="AF47" s="94"/>
      <c r="AG47" s="94"/>
      <c r="AH47" s="94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</row>
    <row r="48" spans="1:48" ht="12" customHeight="1" x14ac:dyDescent="0.25">
      <c r="A48" s="27"/>
      <c r="B48" s="94"/>
      <c r="C48" s="96"/>
      <c r="D48" s="96"/>
      <c r="E48" s="94"/>
      <c r="F48" s="94"/>
      <c r="G48" s="94"/>
      <c r="H48" s="27"/>
      <c r="I48" s="27"/>
      <c r="J48" s="27"/>
      <c r="K48" s="96"/>
      <c r="L48" s="97"/>
      <c r="M48" s="94"/>
      <c r="N48" s="97"/>
      <c r="O48" s="27"/>
      <c r="P48" s="94"/>
      <c r="Q48" s="27"/>
      <c r="R48" s="27"/>
      <c r="S48" s="27"/>
      <c r="T48" s="27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27"/>
      <c r="AF48" s="94"/>
      <c r="AG48" s="94"/>
      <c r="AH48" s="94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</row>
    <row r="49" spans="1:48" ht="12" customHeight="1" x14ac:dyDescent="0.25">
      <c r="A49" s="27"/>
      <c r="B49" s="94"/>
      <c r="C49" s="96"/>
      <c r="D49" s="96"/>
      <c r="E49" s="94"/>
      <c r="F49" s="94"/>
      <c r="G49" s="94"/>
      <c r="H49" s="27"/>
      <c r="I49" s="27"/>
      <c r="J49" s="27"/>
      <c r="K49" s="96"/>
      <c r="L49" s="97"/>
      <c r="M49" s="94"/>
      <c r="N49" s="97"/>
      <c r="O49" s="27"/>
      <c r="P49" s="94"/>
      <c r="Q49" s="27"/>
      <c r="R49" s="27"/>
      <c r="S49" s="27"/>
      <c r="T49" s="27"/>
      <c r="U49" s="96"/>
      <c r="V49" s="96"/>
      <c r="W49" s="96"/>
      <c r="X49" s="96"/>
      <c r="Y49" s="96"/>
      <c r="Z49" s="96"/>
      <c r="AA49" s="96"/>
      <c r="AB49" s="96"/>
      <c r="AC49" s="96"/>
      <c r="AD49" s="96"/>
      <c r="AE49" s="27"/>
      <c r="AF49" s="94"/>
      <c r="AG49" s="94"/>
      <c r="AH49" s="94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</row>
    <row r="50" spans="1:48" ht="12" customHeight="1" x14ac:dyDescent="0.25">
      <c r="A50" s="27"/>
      <c r="B50" s="94"/>
      <c r="C50" s="96"/>
      <c r="D50" s="96"/>
      <c r="E50" s="94"/>
      <c r="F50" s="94"/>
      <c r="G50" s="94"/>
      <c r="H50" s="27"/>
      <c r="I50" s="27"/>
      <c r="J50" s="27"/>
      <c r="K50" s="96"/>
      <c r="L50" s="97"/>
      <c r="M50" s="94"/>
      <c r="N50" s="97"/>
      <c r="O50" s="27"/>
      <c r="P50" s="94"/>
      <c r="Q50" s="27"/>
      <c r="R50" s="27"/>
      <c r="S50" s="27"/>
      <c r="T50" s="27"/>
      <c r="U50" s="96"/>
      <c r="V50" s="96"/>
      <c r="W50" s="96"/>
      <c r="X50" s="96"/>
      <c r="Y50" s="96"/>
      <c r="Z50" s="96"/>
      <c r="AA50" s="96"/>
      <c r="AB50" s="96"/>
      <c r="AC50" s="96"/>
      <c r="AD50" s="96"/>
      <c r="AE50" s="27"/>
      <c r="AF50" s="94"/>
      <c r="AG50" s="94"/>
      <c r="AH50" s="94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</row>
    <row r="51" spans="1:48" ht="12" customHeight="1" x14ac:dyDescent="0.25">
      <c r="A51" s="27"/>
      <c r="B51" s="94"/>
      <c r="C51" s="96"/>
      <c r="D51" s="96"/>
      <c r="E51" s="94"/>
      <c r="F51" s="94"/>
      <c r="G51" s="94"/>
      <c r="H51" s="27"/>
      <c r="I51" s="27"/>
      <c r="J51" s="27"/>
      <c r="K51" s="96"/>
      <c r="L51" s="97"/>
      <c r="M51" s="94"/>
      <c r="N51" s="97"/>
      <c r="O51" s="27"/>
      <c r="P51" s="94"/>
      <c r="Q51" s="27"/>
      <c r="R51" s="27"/>
      <c r="S51" s="27"/>
      <c r="T51" s="27"/>
      <c r="U51" s="96"/>
      <c r="V51" s="96"/>
      <c r="W51" s="96"/>
      <c r="X51" s="96"/>
      <c r="Y51" s="96"/>
      <c r="Z51" s="96"/>
      <c r="AA51" s="96"/>
      <c r="AB51" s="96"/>
      <c r="AC51" s="96"/>
      <c r="AD51" s="96"/>
      <c r="AE51" s="27"/>
      <c r="AF51" s="94"/>
      <c r="AG51" s="94"/>
      <c r="AH51" s="94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</row>
    <row r="52" spans="1:48" ht="12" customHeight="1" x14ac:dyDescent="0.25">
      <c r="A52" s="27"/>
      <c r="B52" s="94"/>
      <c r="C52" s="96"/>
      <c r="D52" s="96"/>
      <c r="E52" s="94"/>
      <c r="F52" s="94"/>
      <c r="G52" s="94"/>
      <c r="H52" s="27"/>
      <c r="I52" s="27"/>
      <c r="J52" s="27"/>
      <c r="K52" s="96"/>
      <c r="L52" s="97"/>
      <c r="M52" s="94"/>
      <c r="N52" s="97"/>
      <c r="O52" s="27"/>
      <c r="P52" s="94"/>
      <c r="Q52" s="27"/>
      <c r="R52" s="27"/>
      <c r="S52" s="27"/>
      <c r="T52" s="27"/>
      <c r="U52" s="96"/>
      <c r="V52" s="96"/>
      <c r="W52" s="96"/>
      <c r="X52" s="96"/>
      <c r="Y52" s="96"/>
      <c r="Z52" s="96"/>
      <c r="AA52" s="96"/>
      <c r="AB52" s="96"/>
      <c r="AC52" s="96"/>
      <c r="AD52" s="96"/>
      <c r="AE52" s="27"/>
      <c r="AF52" s="94"/>
      <c r="AG52" s="94"/>
      <c r="AH52" s="94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</row>
    <row r="53" spans="1:48" ht="12" customHeight="1" x14ac:dyDescent="0.25">
      <c r="A53" s="27"/>
      <c r="B53" s="94"/>
      <c r="C53" s="96"/>
      <c r="D53" s="96"/>
      <c r="E53" s="94"/>
      <c r="F53" s="94"/>
      <c r="G53" s="94"/>
      <c r="H53" s="27"/>
      <c r="I53" s="27"/>
      <c r="J53" s="27"/>
      <c r="K53" s="96"/>
      <c r="L53" s="97"/>
      <c r="M53" s="94"/>
      <c r="N53" s="97"/>
      <c r="O53" s="27"/>
      <c r="P53" s="94"/>
      <c r="Q53" s="27"/>
      <c r="R53" s="27"/>
      <c r="S53" s="27"/>
      <c r="T53" s="27"/>
      <c r="U53" s="96"/>
      <c r="V53" s="96"/>
      <c r="W53" s="96"/>
      <c r="X53" s="96"/>
      <c r="Y53" s="96"/>
      <c r="Z53" s="96"/>
      <c r="AA53" s="96"/>
      <c r="AB53" s="96"/>
      <c r="AC53" s="96"/>
      <c r="AD53" s="96"/>
      <c r="AE53" s="27"/>
      <c r="AF53" s="94"/>
      <c r="AG53" s="94"/>
      <c r="AH53" s="94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</row>
    <row r="54" spans="1:48" ht="12" customHeight="1" x14ac:dyDescent="0.25">
      <c r="A54" s="27"/>
      <c r="B54" s="94"/>
      <c r="C54" s="96"/>
      <c r="D54" s="96"/>
      <c r="E54" s="94"/>
      <c r="F54" s="94"/>
      <c r="G54" s="94"/>
      <c r="H54" s="27"/>
      <c r="I54" s="27"/>
      <c r="J54" s="27"/>
      <c r="K54" s="96"/>
      <c r="L54" s="97"/>
      <c r="M54" s="94"/>
      <c r="N54" s="97"/>
      <c r="O54" s="27"/>
      <c r="P54" s="94"/>
      <c r="Q54" s="27"/>
      <c r="R54" s="27"/>
      <c r="S54" s="27"/>
      <c r="T54" s="27"/>
      <c r="U54" s="96"/>
      <c r="V54" s="96"/>
      <c r="W54" s="96"/>
      <c r="X54" s="96"/>
      <c r="Y54" s="96"/>
      <c r="Z54" s="96"/>
      <c r="AA54" s="96"/>
      <c r="AB54" s="96"/>
      <c r="AC54" s="96"/>
      <c r="AD54" s="96"/>
      <c r="AE54" s="27"/>
      <c r="AF54" s="94"/>
      <c r="AG54" s="94"/>
      <c r="AH54" s="94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</row>
    <row r="55" spans="1:48" ht="12" customHeight="1" x14ac:dyDescent="0.25">
      <c r="A55" s="27"/>
      <c r="B55" s="94"/>
      <c r="C55" s="96"/>
      <c r="D55" s="96"/>
      <c r="E55" s="94"/>
      <c r="F55" s="94"/>
      <c r="G55" s="94"/>
      <c r="H55" s="27"/>
      <c r="I55" s="27"/>
      <c r="J55" s="27"/>
      <c r="K55" s="96"/>
      <c r="L55" s="97"/>
      <c r="M55" s="94"/>
      <c r="N55" s="97"/>
      <c r="O55" s="27"/>
      <c r="P55" s="94"/>
      <c r="Q55" s="27"/>
      <c r="R55" s="27"/>
      <c r="S55" s="27"/>
      <c r="T55" s="27"/>
      <c r="U55" s="96"/>
      <c r="V55" s="96"/>
      <c r="W55" s="96"/>
      <c r="X55" s="96"/>
      <c r="Y55" s="96"/>
      <c r="Z55" s="96"/>
      <c r="AA55" s="96"/>
      <c r="AB55" s="96"/>
      <c r="AC55" s="96"/>
      <c r="AD55" s="96"/>
      <c r="AE55" s="27"/>
      <c r="AF55" s="94"/>
      <c r="AG55" s="94"/>
      <c r="AH55" s="94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</row>
    <row r="56" spans="1:48" ht="12" customHeight="1" x14ac:dyDescent="0.25">
      <c r="A56" s="27"/>
      <c r="B56" s="94"/>
      <c r="C56" s="96"/>
      <c r="D56" s="96"/>
      <c r="E56" s="94"/>
      <c r="F56" s="94"/>
      <c r="G56" s="94"/>
      <c r="H56" s="27"/>
      <c r="I56" s="27"/>
      <c r="J56" s="27"/>
      <c r="K56" s="96"/>
      <c r="L56" s="97"/>
      <c r="M56" s="94"/>
      <c r="N56" s="97"/>
      <c r="O56" s="27"/>
      <c r="P56" s="94"/>
      <c r="Q56" s="27"/>
      <c r="R56" s="27"/>
      <c r="S56" s="27"/>
      <c r="T56" s="27"/>
      <c r="U56" s="96"/>
      <c r="V56" s="96"/>
      <c r="W56" s="96"/>
      <c r="X56" s="96"/>
      <c r="Y56" s="96"/>
      <c r="Z56" s="96"/>
      <c r="AA56" s="96"/>
      <c r="AB56" s="96"/>
      <c r="AC56" s="96"/>
      <c r="AD56" s="96"/>
      <c r="AE56" s="27"/>
      <c r="AF56" s="94"/>
      <c r="AG56" s="94"/>
      <c r="AH56" s="94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</row>
    <row r="57" spans="1:48" ht="12" customHeight="1" x14ac:dyDescent="0.25">
      <c r="A57" s="27"/>
      <c r="B57" s="94"/>
      <c r="C57" s="96"/>
      <c r="D57" s="96"/>
      <c r="E57" s="94"/>
      <c r="F57" s="94"/>
      <c r="G57" s="94"/>
      <c r="H57" s="27"/>
      <c r="I57" s="27"/>
      <c r="J57" s="27"/>
      <c r="K57" s="96"/>
      <c r="L57" s="97"/>
      <c r="M57" s="94"/>
      <c r="N57" s="97"/>
      <c r="O57" s="27"/>
      <c r="P57" s="94"/>
      <c r="Q57" s="27"/>
      <c r="R57" s="27"/>
      <c r="S57" s="27"/>
      <c r="T57" s="27"/>
      <c r="U57" s="96"/>
      <c r="V57" s="96"/>
      <c r="W57" s="96"/>
      <c r="X57" s="96"/>
      <c r="Y57" s="96"/>
      <c r="Z57" s="96"/>
      <c r="AA57" s="96"/>
      <c r="AB57" s="96"/>
      <c r="AC57" s="96"/>
      <c r="AD57" s="96"/>
      <c r="AE57" s="27"/>
      <c r="AF57" s="94"/>
      <c r="AG57" s="94"/>
      <c r="AH57" s="94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</row>
    <row r="58" spans="1:48" ht="12" customHeight="1" x14ac:dyDescent="0.25">
      <c r="A58" s="27"/>
      <c r="B58" s="94"/>
      <c r="C58" s="96"/>
      <c r="D58" s="96"/>
      <c r="E58" s="94"/>
      <c r="F58" s="94"/>
      <c r="G58" s="94"/>
      <c r="H58" s="27"/>
      <c r="I58" s="27"/>
      <c r="J58" s="27"/>
      <c r="K58" s="96"/>
      <c r="L58" s="97"/>
      <c r="M58" s="94"/>
      <c r="N58" s="97"/>
      <c r="O58" s="27"/>
      <c r="P58" s="94"/>
      <c r="Q58" s="27"/>
      <c r="R58" s="27"/>
      <c r="S58" s="27"/>
      <c r="T58" s="27"/>
      <c r="U58" s="96"/>
      <c r="V58" s="96"/>
      <c r="W58" s="96"/>
      <c r="X58" s="96"/>
      <c r="Y58" s="96"/>
      <c r="Z58" s="96"/>
      <c r="AA58" s="96"/>
      <c r="AB58" s="96"/>
      <c r="AC58" s="96"/>
      <c r="AD58" s="96"/>
      <c r="AE58" s="27"/>
      <c r="AF58" s="94"/>
      <c r="AG58" s="94"/>
      <c r="AH58" s="94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</row>
    <row r="59" spans="1:48" ht="12" customHeight="1" x14ac:dyDescent="0.25">
      <c r="A59" s="27"/>
      <c r="B59" s="94"/>
      <c r="C59" s="96"/>
      <c r="D59" s="96"/>
      <c r="E59" s="94"/>
      <c r="F59" s="94"/>
      <c r="G59" s="94"/>
      <c r="H59" s="27"/>
      <c r="I59" s="27"/>
      <c r="J59" s="27"/>
      <c r="K59" s="96"/>
      <c r="L59" s="97"/>
      <c r="M59" s="94"/>
      <c r="N59" s="97"/>
      <c r="O59" s="27"/>
      <c r="P59" s="94"/>
      <c r="Q59" s="27"/>
      <c r="R59" s="27"/>
      <c r="S59" s="27"/>
      <c r="T59" s="27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27"/>
      <c r="AF59" s="94"/>
      <c r="AG59" s="94"/>
      <c r="AH59" s="94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</row>
    <row r="60" spans="1:48" ht="12" customHeight="1" x14ac:dyDescent="0.25">
      <c r="A60" s="27"/>
      <c r="B60" s="94"/>
      <c r="C60" s="96"/>
      <c r="D60" s="96"/>
      <c r="E60" s="94"/>
      <c r="F60" s="94"/>
      <c r="G60" s="94"/>
      <c r="H60" s="27"/>
      <c r="I60" s="27"/>
      <c r="J60" s="27"/>
      <c r="K60" s="96"/>
      <c r="L60" s="97"/>
      <c r="M60" s="94"/>
      <c r="N60" s="97"/>
      <c r="O60" s="27"/>
      <c r="P60" s="94"/>
      <c r="Q60" s="27"/>
      <c r="R60" s="27"/>
      <c r="S60" s="27"/>
      <c r="T60" s="27"/>
      <c r="U60" s="96"/>
      <c r="V60" s="96"/>
      <c r="W60" s="96"/>
      <c r="X60" s="96"/>
      <c r="Y60" s="96"/>
      <c r="Z60" s="96"/>
      <c r="AA60" s="96"/>
      <c r="AB60" s="96"/>
      <c r="AC60" s="96"/>
      <c r="AD60" s="96"/>
      <c r="AE60" s="27"/>
      <c r="AF60" s="94"/>
      <c r="AG60" s="94"/>
      <c r="AH60" s="94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</row>
    <row r="61" spans="1:48" ht="12" customHeight="1" x14ac:dyDescent="0.25">
      <c r="A61" s="27"/>
      <c r="B61" s="94"/>
      <c r="C61" s="96"/>
      <c r="D61" s="96"/>
      <c r="E61" s="94"/>
      <c r="F61" s="94"/>
      <c r="G61" s="94"/>
      <c r="H61" s="27"/>
      <c r="I61" s="27"/>
      <c r="J61" s="27"/>
      <c r="K61" s="96"/>
      <c r="L61" s="97"/>
      <c r="M61" s="94"/>
      <c r="N61" s="97"/>
      <c r="O61" s="27"/>
      <c r="P61" s="94"/>
      <c r="Q61" s="27"/>
      <c r="R61" s="27"/>
      <c r="S61" s="27"/>
      <c r="T61" s="27"/>
      <c r="U61" s="96"/>
      <c r="V61" s="96"/>
      <c r="W61" s="96"/>
      <c r="X61" s="96"/>
      <c r="Y61" s="96"/>
      <c r="Z61" s="96"/>
      <c r="AA61" s="96"/>
      <c r="AB61" s="96"/>
      <c r="AC61" s="96"/>
      <c r="AD61" s="96"/>
      <c r="AE61" s="27"/>
      <c r="AF61" s="94"/>
      <c r="AG61" s="94"/>
      <c r="AH61" s="94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</row>
    <row r="62" spans="1:48" ht="12" customHeight="1" x14ac:dyDescent="0.25">
      <c r="A62" s="27"/>
      <c r="B62" s="94"/>
      <c r="C62" s="96"/>
      <c r="D62" s="96"/>
      <c r="E62" s="94"/>
      <c r="F62" s="94"/>
      <c r="G62" s="94"/>
      <c r="H62" s="27"/>
      <c r="I62" s="27"/>
      <c r="J62" s="27"/>
      <c r="K62" s="96"/>
      <c r="L62" s="97"/>
      <c r="M62" s="94"/>
      <c r="N62" s="97"/>
      <c r="O62" s="27"/>
      <c r="P62" s="94"/>
      <c r="Q62" s="27"/>
      <c r="R62" s="27"/>
      <c r="S62" s="27"/>
      <c r="T62" s="27"/>
      <c r="U62" s="96"/>
      <c r="V62" s="96"/>
      <c r="W62" s="96"/>
      <c r="X62" s="96"/>
      <c r="Y62" s="96"/>
      <c r="Z62" s="96"/>
      <c r="AA62" s="96"/>
      <c r="AB62" s="96"/>
      <c r="AC62" s="96"/>
      <c r="AD62" s="96"/>
      <c r="AE62" s="27"/>
      <c r="AF62" s="94"/>
      <c r="AG62" s="94"/>
      <c r="AH62" s="94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</row>
    <row r="63" spans="1:48" ht="12" customHeight="1" x14ac:dyDescent="0.25">
      <c r="A63" s="27"/>
      <c r="B63" s="94"/>
      <c r="C63" s="96"/>
      <c r="D63" s="96"/>
      <c r="E63" s="94"/>
      <c r="F63" s="94"/>
      <c r="G63" s="94"/>
      <c r="H63" s="27"/>
      <c r="I63" s="27"/>
      <c r="J63" s="27"/>
      <c r="K63" s="96"/>
      <c r="L63" s="97"/>
      <c r="M63" s="94"/>
      <c r="N63" s="97"/>
      <c r="O63" s="27"/>
      <c r="P63" s="94"/>
      <c r="Q63" s="27"/>
      <c r="R63" s="27"/>
      <c r="S63" s="27"/>
      <c r="T63" s="27"/>
      <c r="U63" s="96"/>
      <c r="V63" s="96"/>
      <c r="W63" s="96"/>
      <c r="X63" s="96"/>
      <c r="Y63" s="96"/>
      <c r="Z63" s="96"/>
      <c r="AA63" s="96"/>
      <c r="AB63" s="96"/>
      <c r="AC63" s="96"/>
      <c r="AD63" s="96"/>
      <c r="AE63" s="27"/>
      <c r="AF63" s="94"/>
      <c r="AG63" s="94"/>
      <c r="AH63" s="94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</row>
    <row r="64" spans="1:48" ht="12" customHeight="1" x14ac:dyDescent="0.25">
      <c r="A64" s="27"/>
      <c r="B64" s="94"/>
      <c r="C64" s="96"/>
      <c r="D64" s="96"/>
      <c r="E64" s="94"/>
      <c r="F64" s="94"/>
      <c r="G64" s="94"/>
      <c r="H64" s="27"/>
      <c r="I64" s="27"/>
      <c r="J64" s="27"/>
      <c r="K64" s="96"/>
      <c r="L64" s="97"/>
      <c r="M64" s="94"/>
      <c r="N64" s="97"/>
      <c r="O64" s="27"/>
      <c r="P64" s="94"/>
      <c r="Q64" s="27"/>
      <c r="R64" s="27"/>
      <c r="S64" s="27"/>
      <c r="T64" s="27"/>
      <c r="U64" s="96"/>
      <c r="V64" s="96"/>
      <c r="W64" s="96"/>
      <c r="X64" s="96"/>
      <c r="Y64" s="96"/>
      <c r="Z64" s="96"/>
      <c r="AA64" s="96"/>
      <c r="AB64" s="96"/>
      <c r="AC64" s="96"/>
      <c r="AD64" s="96"/>
      <c r="AE64" s="27"/>
      <c r="AF64" s="94"/>
      <c r="AG64" s="94"/>
      <c r="AH64" s="94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</row>
    <row r="65" spans="1:48" ht="12" customHeight="1" x14ac:dyDescent="0.25">
      <c r="A65" s="27"/>
      <c r="B65" s="94"/>
      <c r="C65" s="96"/>
      <c r="D65" s="96"/>
      <c r="E65" s="94"/>
      <c r="F65" s="94"/>
      <c r="G65" s="94"/>
      <c r="H65" s="27"/>
      <c r="I65" s="27"/>
      <c r="J65" s="27"/>
      <c r="K65" s="96"/>
      <c r="L65" s="97"/>
      <c r="M65" s="94"/>
      <c r="N65" s="97"/>
      <c r="O65" s="27"/>
      <c r="P65" s="94"/>
      <c r="Q65" s="27"/>
      <c r="R65" s="27"/>
      <c r="S65" s="27"/>
      <c r="T65" s="27"/>
      <c r="U65" s="96"/>
      <c r="V65" s="96"/>
      <c r="W65" s="96"/>
      <c r="X65" s="96"/>
      <c r="Y65" s="96"/>
      <c r="Z65" s="96"/>
      <c r="AA65" s="96"/>
      <c r="AB65" s="96"/>
      <c r="AC65" s="96"/>
      <c r="AD65" s="96"/>
      <c r="AE65" s="27"/>
      <c r="AF65" s="94"/>
      <c r="AG65" s="94"/>
      <c r="AH65" s="94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</row>
    <row r="66" spans="1:48" ht="12" customHeight="1" x14ac:dyDescent="0.25">
      <c r="A66" s="27"/>
      <c r="B66" s="94"/>
      <c r="C66" s="96"/>
      <c r="D66" s="96"/>
      <c r="E66" s="94"/>
      <c r="F66" s="94"/>
      <c r="G66" s="94"/>
      <c r="H66" s="27"/>
      <c r="I66" s="27"/>
      <c r="J66" s="27"/>
      <c r="K66" s="96"/>
      <c r="L66" s="97"/>
      <c r="M66" s="94"/>
      <c r="N66" s="97"/>
      <c r="O66" s="27"/>
      <c r="P66" s="94"/>
      <c r="Q66" s="27"/>
      <c r="R66" s="27"/>
      <c r="S66" s="27"/>
      <c r="T66" s="27"/>
      <c r="U66" s="96"/>
      <c r="V66" s="96"/>
      <c r="W66" s="96"/>
      <c r="X66" s="96"/>
      <c r="Y66" s="96"/>
      <c r="Z66" s="96"/>
      <c r="AA66" s="96"/>
      <c r="AB66" s="96"/>
      <c r="AC66" s="96"/>
      <c r="AD66" s="96"/>
      <c r="AE66" s="27"/>
      <c r="AF66" s="94"/>
      <c r="AG66" s="94"/>
      <c r="AH66" s="94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</row>
    <row r="67" spans="1:48" ht="12" customHeight="1" x14ac:dyDescent="0.25">
      <c r="A67" s="27"/>
      <c r="B67" s="94"/>
      <c r="C67" s="96"/>
      <c r="D67" s="96"/>
      <c r="E67" s="94"/>
      <c r="F67" s="94"/>
      <c r="G67" s="94"/>
      <c r="H67" s="27"/>
      <c r="I67" s="27"/>
      <c r="J67" s="27"/>
      <c r="K67" s="96"/>
      <c r="L67" s="97"/>
      <c r="M67" s="94"/>
      <c r="N67" s="97"/>
      <c r="O67" s="27"/>
      <c r="P67" s="94"/>
      <c r="Q67" s="27"/>
      <c r="R67" s="27"/>
      <c r="S67" s="27"/>
      <c r="T67" s="27"/>
      <c r="U67" s="96"/>
      <c r="V67" s="96"/>
      <c r="W67" s="96"/>
      <c r="X67" s="96"/>
      <c r="Y67" s="96"/>
      <c r="Z67" s="96"/>
      <c r="AA67" s="96"/>
      <c r="AB67" s="96"/>
      <c r="AC67" s="96"/>
      <c r="AD67" s="96"/>
      <c r="AE67" s="27"/>
      <c r="AF67" s="94"/>
      <c r="AG67" s="94"/>
      <c r="AH67" s="94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</row>
    <row r="68" spans="1:48" ht="12" customHeight="1" x14ac:dyDescent="0.25">
      <c r="A68" s="27"/>
      <c r="B68" s="94"/>
      <c r="C68" s="96"/>
      <c r="D68" s="96"/>
      <c r="E68" s="94"/>
      <c r="F68" s="94"/>
      <c r="G68" s="94"/>
      <c r="H68" s="27"/>
      <c r="I68" s="27"/>
      <c r="J68" s="27"/>
      <c r="K68" s="96"/>
      <c r="L68" s="97"/>
      <c r="M68" s="94"/>
      <c r="N68" s="97"/>
      <c r="O68" s="27"/>
      <c r="P68" s="94"/>
      <c r="Q68" s="27"/>
      <c r="R68" s="27"/>
      <c r="S68" s="27"/>
      <c r="T68" s="27"/>
      <c r="U68" s="96"/>
      <c r="V68" s="96"/>
      <c r="W68" s="96"/>
      <c r="X68" s="96"/>
      <c r="Y68" s="96"/>
      <c r="Z68" s="96"/>
      <c r="AA68" s="96"/>
      <c r="AB68" s="96"/>
      <c r="AC68" s="96"/>
      <c r="AD68" s="96"/>
      <c r="AE68" s="27"/>
      <c r="AF68" s="94"/>
      <c r="AG68" s="94"/>
      <c r="AH68" s="94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</row>
    <row r="69" spans="1:48" ht="12" customHeight="1" x14ac:dyDescent="0.25">
      <c r="A69" s="27"/>
      <c r="B69" s="94"/>
      <c r="C69" s="96"/>
      <c r="D69" s="96"/>
      <c r="E69" s="94"/>
      <c r="F69" s="94"/>
      <c r="G69" s="94"/>
      <c r="H69" s="27"/>
      <c r="I69" s="27"/>
      <c r="J69" s="27"/>
      <c r="K69" s="96"/>
      <c r="L69" s="97"/>
      <c r="M69" s="94"/>
      <c r="N69" s="97"/>
      <c r="O69" s="27"/>
      <c r="P69" s="94"/>
      <c r="Q69" s="27"/>
      <c r="R69" s="27"/>
      <c r="S69" s="27"/>
      <c r="T69" s="27"/>
      <c r="U69" s="96"/>
      <c r="V69" s="96"/>
      <c r="W69" s="96"/>
      <c r="X69" s="96"/>
      <c r="Y69" s="96"/>
      <c r="Z69" s="96"/>
      <c r="AA69" s="96"/>
      <c r="AB69" s="96"/>
      <c r="AC69" s="96"/>
      <c r="AD69" s="96"/>
      <c r="AE69" s="27"/>
      <c r="AF69" s="94"/>
      <c r="AG69" s="94"/>
      <c r="AH69" s="94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</row>
    <row r="70" spans="1:48" ht="12" customHeight="1" x14ac:dyDescent="0.25">
      <c r="A70" s="27"/>
      <c r="B70" s="94"/>
      <c r="C70" s="96"/>
      <c r="D70" s="96"/>
      <c r="E70" s="94"/>
      <c r="F70" s="94"/>
      <c r="G70" s="94"/>
      <c r="H70" s="27"/>
      <c r="I70" s="27"/>
      <c r="J70" s="27"/>
      <c r="K70" s="96"/>
      <c r="L70" s="97"/>
      <c r="M70" s="94"/>
      <c r="N70" s="97"/>
      <c r="O70" s="27"/>
      <c r="P70" s="94"/>
      <c r="Q70" s="27"/>
      <c r="R70" s="27"/>
      <c r="S70" s="27"/>
      <c r="T70" s="27"/>
      <c r="U70" s="96"/>
      <c r="V70" s="96"/>
      <c r="W70" s="96"/>
      <c r="X70" s="96"/>
      <c r="Y70" s="96"/>
      <c r="Z70" s="96"/>
      <c r="AA70" s="96"/>
      <c r="AB70" s="96"/>
      <c r="AC70" s="96"/>
      <c r="AD70" s="96"/>
      <c r="AE70" s="27"/>
      <c r="AF70" s="94"/>
      <c r="AG70" s="94"/>
      <c r="AH70" s="94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</row>
    <row r="71" spans="1:48" ht="12" customHeight="1" x14ac:dyDescent="0.25">
      <c r="A71" s="27"/>
      <c r="B71" s="94"/>
      <c r="C71" s="96"/>
      <c r="D71" s="96"/>
      <c r="E71" s="94"/>
      <c r="F71" s="94"/>
      <c r="G71" s="94"/>
      <c r="H71" s="27"/>
      <c r="I71" s="27"/>
      <c r="J71" s="27"/>
      <c r="K71" s="96"/>
      <c r="L71" s="97"/>
      <c r="M71" s="94"/>
      <c r="N71" s="97"/>
      <c r="O71" s="27"/>
      <c r="P71" s="94"/>
      <c r="Q71" s="27"/>
      <c r="R71" s="27"/>
      <c r="S71" s="27"/>
      <c r="T71" s="27"/>
      <c r="U71" s="96"/>
      <c r="V71" s="96"/>
      <c r="W71" s="96"/>
      <c r="X71" s="96"/>
      <c r="Y71" s="96"/>
      <c r="Z71" s="96"/>
      <c r="AA71" s="96"/>
      <c r="AB71" s="96"/>
      <c r="AC71" s="96"/>
      <c r="AD71" s="96"/>
      <c r="AE71" s="27"/>
      <c r="AF71" s="94"/>
      <c r="AG71" s="94"/>
      <c r="AH71" s="94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</row>
    <row r="72" spans="1:48" ht="12" customHeight="1" x14ac:dyDescent="0.25">
      <c r="A72" s="27"/>
      <c r="B72" s="94"/>
      <c r="C72" s="96"/>
      <c r="D72" s="96"/>
      <c r="E72" s="94"/>
      <c r="F72" s="94"/>
      <c r="G72" s="94"/>
      <c r="H72" s="27"/>
      <c r="I72" s="27"/>
      <c r="J72" s="27"/>
      <c r="K72" s="96"/>
      <c r="L72" s="97"/>
      <c r="M72" s="94"/>
      <c r="N72" s="97"/>
      <c r="O72" s="27"/>
      <c r="P72" s="94"/>
      <c r="Q72" s="27"/>
      <c r="R72" s="27"/>
      <c r="S72" s="27"/>
      <c r="T72" s="27"/>
      <c r="U72" s="96"/>
      <c r="V72" s="96"/>
      <c r="W72" s="96"/>
      <c r="X72" s="96"/>
      <c r="Y72" s="96"/>
      <c r="Z72" s="96"/>
      <c r="AA72" s="96"/>
      <c r="AB72" s="96"/>
      <c r="AC72" s="96"/>
      <c r="AD72" s="96"/>
      <c r="AE72" s="27"/>
      <c r="AF72" s="94"/>
      <c r="AG72" s="94"/>
      <c r="AH72" s="94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</row>
    <row r="73" spans="1:48" ht="12" customHeight="1" x14ac:dyDescent="0.25">
      <c r="A73" s="27"/>
      <c r="B73" s="94"/>
      <c r="C73" s="96"/>
      <c r="D73" s="96"/>
      <c r="E73" s="94"/>
      <c r="F73" s="94"/>
      <c r="G73" s="94"/>
      <c r="H73" s="27"/>
      <c r="I73" s="27"/>
      <c r="J73" s="27"/>
      <c r="K73" s="96"/>
      <c r="L73" s="97"/>
      <c r="M73" s="94"/>
      <c r="N73" s="97"/>
      <c r="O73" s="27"/>
      <c r="P73" s="94"/>
      <c r="Q73" s="27"/>
      <c r="R73" s="27"/>
      <c r="S73" s="27"/>
      <c r="T73" s="27"/>
      <c r="U73" s="96"/>
      <c r="V73" s="96"/>
      <c r="W73" s="96"/>
      <c r="X73" s="96"/>
      <c r="Y73" s="96"/>
      <c r="Z73" s="96"/>
      <c r="AA73" s="96"/>
      <c r="AB73" s="96"/>
      <c r="AC73" s="96"/>
      <c r="AD73" s="96"/>
      <c r="AE73" s="27"/>
      <c r="AF73" s="94"/>
      <c r="AG73" s="94"/>
      <c r="AH73" s="94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</row>
    <row r="74" spans="1:48" ht="12" customHeight="1" x14ac:dyDescent="0.25">
      <c r="A74" s="27"/>
      <c r="B74" s="94"/>
      <c r="C74" s="96"/>
      <c r="D74" s="96"/>
      <c r="E74" s="94"/>
      <c r="F74" s="94"/>
      <c r="G74" s="94"/>
      <c r="H74" s="27"/>
      <c r="I74" s="27"/>
      <c r="J74" s="27"/>
      <c r="K74" s="96"/>
      <c r="L74" s="97"/>
      <c r="M74" s="94"/>
      <c r="N74" s="97"/>
      <c r="O74" s="27"/>
      <c r="P74" s="94"/>
      <c r="Q74" s="27"/>
      <c r="R74" s="27"/>
      <c r="S74" s="27"/>
      <c r="T74" s="27"/>
      <c r="U74" s="96"/>
      <c r="V74" s="96"/>
      <c r="W74" s="96"/>
      <c r="X74" s="96"/>
      <c r="Y74" s="96"/>
      <c r="Z74" s="96"/>
      <c r="AA74" s="96"/>
      <c r="AB74" s="96"/>
      <c r="AC74" s="96"/>
      <c r="AD74" s="96"/>
      <c r="AE74" s="27"/>
      <c r="AF74" s="94"/>
      <c r="AG74" s="94"/>
      <c r="AH74" s="94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</row>
    <row r="75" spans="1:48" ht="12" customHeight="1" x14ac:dyDescent="0.25">
      <c r="A75" s="27"/>
      <c r="B75" s="94"/>
      <c r="C75" s="96"/>
      <c r="D75" s="96"/>
      <c r="E75" s="94"/>
      <c r="F75" s="94"/>
      <c r="G75" s="94"/>
      <c r="H75" s="27"/>
      <c r="I75" s="27"/>
      <c r="J75" s="27"/>
      <c r="K75" s="96"/>
      <c r="L75" s="97"/>
      <c r="M75" s="94"/>
      <c r="N75" s="97"/>
      <c r="O75" s="27"/>
      <c r="P75" s="94"/>
      <c r="Q75" s="27"/>
      <c r="R75" s="27"/>
      <c r="S75" s="27"/>
      <c r="T75" s="27"/>
      <c r="U75" s="96"/>
      <c r="V75" s="96"/>
      <c r="W75" s="96"/>
      <c r="X75" s="96"/>
      <c r="Y75" s="96"/>
      <c r="Z75" s="96"/>
      <c r="AA75" s="96"/>
      <c r="AB75" s="96"/>
      <c r="AC75" s="96"/>
      <c r="AD75" s="96"/>
      <c r="AE75" s="27"/>
      <c r="AF75" s="94"/>
      <c r="AG75" s="94"/>
      <c r="AH75" s="94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</row>
    <row r="76" spans="1:48" ht="12" customHeight="1" x14ac:dyDescent="0.25">
      <c r="A76" s="27"/>
      <c r="B76" s="94"/>
      <c r="C76" s="96"/>
      <c r="D76" s="96"/>
      <c r="E76" s="94"/>
      <c r="F76" s="94"/>
      <c r="G76" s="94"/>
      <c r="H76" s="27"/>
      <c r="I76" s="27"/>
      <c r="J76" s="27"/>
      <c r="K76" s="96"/>
      <c r="L76" s="97"/>
      <c r="M76" s="94"/>
      <c r="N76" s="97"/>
      <c r="O76" s="27"/>
      <c r="P76" s="94"/>
      <c r="Q76" s="27"/>
      <c r="R76" s="27"/>
      <c r="S76" s="27"/>
      <c r="T76" s="27"/>
      <c r="U76" s="96"/>
      <c r="V76" s="96"/>
      <c r="W76" s="96"/>
      <c r="X76" s="96"/>
      <c r="Y76" s="96"/>
      <c r="Z76" s="96"/>
      <c r="AA76" s="96"/>
      <c r="AB76" s="96"/>
      <c r="AC76" s="96"/>
      <c r="AD76" s="96"/>
      <c r="AE76" s="27"/>
      <c r="AF76" s="94"/>
      <c r="AG76" s="94"/>
      <c r="AH76" s="94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</row>
    <row r="77" spans="1:48" ht="12" customHeight="1" x14ac:dyDescent="0.25">
      <c r="A77" s="27"/>
      <c r="B77" s="94"/>
      <c r="C77" s="96"/>
      <c r="D77" s="96"/>
      <c r="E77" s="94"/>
      <c r="F77" s="94"/>
      <c r="G77" s="94"/>
      <c r="H77" s="27"/>
      <c r="I77" s="27"/>
      <c r="J77" s="27"/>
      <c r="K77" s="96"/>
      <c r="L77" s="97"/>
      <c r="M77" s="94"/>
      <c r="N77" s="97"/>
      <c r="O77" s="27"/>
      <c r="P77" s="94"/>
      <c r="Q77" s="27"/>
      <c r="R77" s="27"/>
      <c r="S77" s="27"/>
      <c r="T77" s="27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27"/>
      <c r="AF77" s="94"/>
      <c r="AG77" s="94"/>
      <c r="AH77" s="94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</row>
    <row r="78" spans="1:48" ht="12" customHeight="1" x14ac:dyDescent="0.25">
      <c r="A78" s="27"/>
      <c r="B78" s="94"/>
      <c r="C78" s="96"/>
      <c r="D78" s="96"/>
      <c r="E78" s="94"/>
      <c r="F78" s="94"/>
      <c r="G78" s="94"/>
      <c r="H78" s="27"/>
      <c r="I78" s="27"/>
      <c r="J78" s="27"/>
      <c r="K78" s="96"/>
      <c r="L78" s="97"/>
      <c r="M78" s="94"/>
      <c r="N78" s="97"/>
      <c r="O78" s="27"/>
      <c r="P78" s="94"/>
      <c r="Q78" s="27"/>
      <c r="R78" s="27"/>
      <c r="S78" s="27"/>
      <c r="T78" s="27"/>
      <c r="U78" s="96"/>
      <c r="V78" s="96"/>
      <c r="W78" s="96"/>
      <c r="X78" s="96"/>
      <c r="Y78" s="96"/>
      <c r="Z78" s="96"/>
      <c r="AA78" s="96"/>
      <c r="AB78" s="96"/>
      <c r="AC78" s="96"/>
      <c r="AD78" s="96"/>
      <c r="AE78" s="27"/>
      <c r="AF78" s="94"/>
      <c r="AG78" s="94"/>
      <c r="AH78" s="94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</row>
    <row r="79" spans="1:48" ht="12" customHeight="1" x14ac:dyDescent="0.25">
      <c r="A79" s="27"/>
      <c r="B79" s="94"/>
      <c r="C79" s="96"/>
      <c r="D79" s="96"/>
      <c r="E79" s="94"/>
      <c r="F79" s="94"/>
      <c r="G79" s="94"/>
      <c r="H79" s="27"/>
      <c r="I79" s="27"/>
      <c r="J79" s="27"/>
      <c r="K79" s="96"/>
      <c r="L79" s="97"/>
      <c r="M79" s="94"/>
      <c r="N79" s="97"/>
      <c r="O79" s="27"/>
      <c r="P79" s="94"/>
      <c r="Q79" s="27"/>
      <c r="R79" s="27"/>
      <c r="S79" s="27"/>
      <c r="T79" s="27"/>
      <c r="U79" s="96"/>
      <c r="V79" s="96"/>
      <c r="W79" s="96"/>
      <c r="X79" s="96"/>
      <c r="Y79" s="96"/>
      <c r="Z79" s="96"/>
      <c r="AA79" s="96"/>
      <c r="AB79" s="96"/>
      <c r="AC79" s="96"/>
      <c r="AD79" s="96"/>
      <c r="AE79" s="27"/>
      <c r="AF79" s="94"/>
      <c r="AG79" s="94"/>
      <c r="AH79" s="94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</row>
    <row r="80" spans="1:48" ht="12" customHeight="1" x14ac:dyDescent="0.25">
      <c r="A80" s="27"/>
      <c r="B80" s="94"/>
      <c r="C80" s="96"/>
      <c r="D80" s="96"/>
      <c r="E80" s="94"/>
      <c r="F80" s="94"/>
      <c r="G80" s="94"/>
      <c r="H80" s="27"/>
      <c r="I80" s="27"/>
      <c r="J80" s="27"/>
      <c r="K80" s="96"/>
      <c r="L80" s="97"/>
      <c r="M80" s="94"/>
      <c r="N80" s="97"/>
      <c r="O80" s="27"/>
      <c r="P80" s="94"/>
      <c r="Q80" s="27"/>
      <c r="R80" s="27"/>
      <c r="S80" s="27"/>
      <c r="T80" s="27"/>
      <c r="U80" s="96"/>
      <c r="V80" s="96"/>
      <c r="W80" s="96"/>
      <c r="X80" s="96"/>
      <c r="Y80" s="96"/>
      <c r="Z80" s="96"/>
      <c r="AA80" s="96"/>
      <c r="AB80" s="96"/>
      <c r="AC80" s="96"/>
      <c r="AD80" s="96"/>
      <c r="AE80" s="27"/>
      <c r="AF80" s="94"/>
      <c r="AG80" s="94"/>
      <c r="AH80" s="94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</row>
    <row r="81" spans="1:48" ht="12" customHeight="1" x14ac:dyDescent="0.25">
      <c r="A81" s="27"/>
      <c r="B81" s="94"/>
      <c r="C81" s="96"/>
      <c r="D81" s="96"/>
      <c r="E81" s="94"/>
      <c r="F81" s="94"/>
      <c r="G81" s="94"/>
      <c r="H81" s="27"/>
      <c r="I81" s="27"/>
      <c r="J81" s="27"/>
      <c r="K81" s="96"/>
      <c r="L81" s="97"/>
      <c r="M81" s="94"/>
      <c r="N81" s="97"/>
      <c r="O81" s="27"/>
      <c r="P81" s="94"/>
      <c r="Q81" s="27"/>
      <c r="R81" s="27"/>
      <c r="S81" s="27"/>
      <c r="T81" s="27"/>
      <c r="U81" s="96"/>
      <c r="V81" s="96"/>
      <c r="W81" s="96"/>
      <c r="X81" s="96"/>
      <c r="Y81" s="96"/>
      <c r="Z81" s="96"/>
      <c r="AA81" s="96"/>
      <c r="AB81" s="96"/>
      <c r="AC81" s="96"/>
      <c r="AD81" s="96"/>
      <c r="AE81" s="27"/>
      <c r="AF81" s="94"/>
      <c r="AG81" s="94"/>
      <c r="AH81" s="94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</row>
    <row r="82" spans="1:48" ht="12" customHeight="1" x14ac:dyDescent="0.25">
      <c r="A82" s="27"/>
      <c r="B82" s="94"/>
      <c r="C82" s="96"/>
      <c r="D82" s="96"/>
      <c r="E82" s="94"/>
      <c r="F82" s="94"/>
      <c r="G82" s="94"/>
      <c r="H82" s="27"/>
      <c r="I82" s="27"/>
      <c r="J82" s="27"/>
      <c r="K82" s="96"/>
      <c r="L82" s="97"/>
      <c r="M82" s="94"/>
      <c r="N82" s="97"/>
      <c r="O82" s="27"/>
      <c r="P82" s="94"/>
      <c r="Q82" s="27"/>
      <c r="R82" s="27"/>
      <c r="S82" s="27"/>
      <c r="T82" s="27"/>
      <c r="U82" s="96"/>
      <c r="V82" s="96"/>
      <c r="W82" s="96"/>
      <c r="X82" s="96"/>
      <c r="Y82" s="96"/>
      <c r="Z82" s="96"/>
      <c r="AA82" s="96"/>
      <c r="AB82" s="96"/>
      <c r="AC82" s="96"/>
      <c r="AD82" s="96"/>
      <c r="AE82" s="27"/>
      <c r="AF82" s="94"/>
      <c r="AG82" s="94"/>
      <c r="AH82" s="94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</row>
    <row r="83" spans="1:48" ht="12" customHeight="1" x14ac:dyDescent="0.25">
      <c r="A83" s="27"/>
      <c r="B83" s="94"/>
      <c r="C83" s="96"/>
      <c r="D83" s="96"/>
      <c r="E83" s="94"/>
      <c r="F83" s="94"/>
      <c r="G83" s="94"/>
      <c r="H83" s="27"/>
      <c r="I83" s="27"/>
      <c r="J83" s="27"/>
      <c r="K83" s="96"/>
      <c r="L83" s="97"/>
      <c r="M83" s="94"/>
      <c r="N83" s="97"/>
      <c r="O83" s="27"/>
      <c r="P83" s="94"/>
      <c r="Q83" s="27"/>
      <c r="R83" s="27"/>
      <c r="S83" s="27"/>
      <c r="T83" s="27"/>
      <c r="U83" s="96"/>
      <c r="V83" s="96"/>
      <c r="W83" s="96"/>
      <c r="X83" s="96"/>
      <c r="Y83" s="96"/>
      <c r="Z83" s="96"/>
      <c r="AA83" s="96"/>
      <c r="AB83" s="96"/>
      <c r="AC83" s="96"/>
      <c r="AD83" s="96"/>
      <c r="AE83" s="27"/>
      <c r="AF83" s="94"/>
      <c r="AG83" s="94"/>
      <c r="AH83" s="94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</row>
    <row r="84" spans="1:48" ht="12" customHeight="1" x14ac:dyDescent="0.25">
      <c r="A84" s="27"/>
      <c r="B84" s="94"/>
      <c r="C84" s="96"/>
      <c r="D84" s="96"/>
      <c r="E84" s="94"/>
      <c r="F84" s="94"/>
      <c r="G84" s="94"/>
      <c r="H84" s="27"/>
      <c r="I84" s="27"/>
      <c r="J84" s="27"/>
      <c r="K84" s="96"/>
      <c r="L84" s="97"/>
      <c r="M84" s="94"/>
      <c r="N84" s="97"/>
      <c r="O84" s="27"/>
      <c r="P84" s="94"/>
      <c r="Q84" s="27"/>
      <c r="R84" s="27"/>
      <c r="S84" s="27"/>
      <c r="T84" s="27"/>
      <c r="U84" s="96"/>
      <c r="V84" s="96"/>
      <c r="W84" s="96"/>
      <c r="X84" s="96"/>
      <c r="Y84" s="96"/>
      <c r="Z84" s="96"/>
      <c r="AA84" s="96"/>
      <c r="AB84" s="96"/>
      <c r="AC84" s="96"/>
      <c r="AD84" s="96"/>
      <c r="AE84" s="27"/>
      <c r="AF84" s="94"/>
      <c r="AG84" s="94"/>
      <c r="AH84" s="94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</row>
    <row r="85" spans="1:48" ht="12" customHeight="1" x14ac:dyDescent="0.25">
      <c r="A85" s="27"/>
      <c r="B85" s="94"/>
      <c r="C85" s="96"/>
      <c r="D85" s="96"/>
      <c r="E85" s="94"/>
      <c r="F85" s="94"/>
      <c r="G85" s="94"/>
      <c r="H85" s="27"/>
      <c r="I85" s="27"/>
      <c r="J85" s="27"/>
      <c r="K85" s="96"/>
      <c r="L85" s="97"/>
      <c r="M85" s="94"/>
      <c r="N85" s="97"/>
      <c r="O85" s="27"/>
      <c r="P85" s="94"/>
      <c r="Q85" s="27"/>
      <c r="R85" s="27"/>
      <c r="S85" s="27"/>
      <c r="T85" s="27"/>
      <c r="U85" s="96"/>
      <c r="V85" s="96"/>
      <c r="W85" s="96"/>
      <c r="X85" s="96"/>
      <c r="Y85" s="96"/>
      <c r="Z85" s="96"/>
      <c r="AA85" s="96"/>
      <c r="AB85" s="96"/>
      <c r="AC85" s="96"/>
      <c r="AD85" s="96"/>
      <c r="AE85" s="27"/>
      <c r="AF85" s="94"/>
      <c r="AG85" s="94"/>
      <c r="AH85" s="94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</row>
    <row r="86" spans="1:48" ht="12" customHeight="1" x14ac:dyDescent="0.25">
      <c r="A86" s="27"/>
      <c r="B86" s="94"/>
      <c r="C86" s="96"/>
      <c r="D86" s="96"/>
      <c r="E86" s="94"/>
      <c r="F86" s="94"/>
      <c r="G86" s="94"/>
      <c r="H86" s="27"/>
      <c r="I86" s="27"/>
      <c r="J86" s="27"/>
      <c r="K86" s="96"/>
      <c r="L86" s="97"/>
      <c r="M86" s="94"/>
      <c r="N86" s="97"/>
      <c r="O86" s="27"/>
      <c r="P86" s="94"/>
      <c r="Q86" s="27"/>
      <c r="R86" s="27"/>
      <c r="S86" s="27"/>
      <c r="T86" s="27"/>
      <c r="U86" s="96"/>
      <c r="V86" s="96"/>
      <c r="W86" s="96"/>
      <c r="X86" s="96"/>
      <c r="Y86" s="96"/>
      <c r="Z86" s="96"/>
      <c r="AA86" s="96"/>
      <c r="AB86" s="96"/>
      <c r="AC86" s="96"/>
      <c r="AD86" s="96"/>
      <c r="AE86" s="27"/>
      <c r="AF86" s="94"/>
      <c r="AG86" s="94"/>
      <c r="AH86" s="94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</row>
    <row r="87" spans="1:48" ht="12" customHeight="1" x14ac:dyDescent="0.25">
      <c r="A87" s="27"/>
      <c r="B87" s="94"/>
      <c r="C87" s="96"/>
      <c r="D87" s="96"/>
      <c r="E87" s="94"/>
      <c r="F87" s="94"/>
      <c r="G87" s="94"/>
      <c r="H87" s="27"/>
      <c r="I87" s="27"/>
      <c r="J87" s="27"/>
      <c r="K87" s="96"/>
      <c r="L87" s="97"/>
      <c r="M87" s="94"/>
      <c r="N87" s="97"/>
      <c r="O87" s="27"/>
      <c r="P87" s="94"/>
      <c r="Q87" s="27"/>
      <c r="R87" s="27"/>
      <c r="S87" s="27"/>
      <c r="T87" s="27"/>
      <c r="U87" s="96"/>
      <c r="V87" s="96"/>
      <c r="W87" s="96"/>
      <c r="X87" s="96"/>
      <c r="Y87" s="96"/>
      <c r="Z87" s="96"/>
      <c r="AA87" s="96"/>
      <c r="AB87" s="96"/>
      <c r="AC87" s="96"/>
      <c r="AD87" s="96"/>
      <c r="AE87" s="27"/>
      <c r="AF87" s="94"/>
      <c r="AG87" s="94"/>
      <c r="AH87" s="94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</row>
    <row r="88" spans="1:48" ht="12" customHeight="1" x14ac:dyDescent="0.25">
      <c r="A88" s="27"/>
      <c r="B88" s="94"/>
      <c r="C88" s="96"/>
      <c r="D88" s="96"/>
      <c r="E88" s="94"/>
      <c r="F88" s="94"/>
      <c r="G88" s="94"/>
      <c r="H88" s="27"/>
      <c r="I88" s="27"/>
      <c r="J88" s="27"/>
      <c r="K88" s="96"/>
      <c r="L88" s="97"/>
      <c r="M88" s="94"/>
      <c r="N88" s="97"/>
      <c r="O88" s="27"/>
      <c r="P88" s="94"/>
      <c r="Q88" s="27"/>
      <c r="R88" s="27"/>
      <c r="S88" s="27"/>
      <c r="T88" s="27"/>
      <c r="U88" s="96"/>
      <c r="V88" s="96"/>
      <c r="W88" s="96"/>
      <c r="X88" s="96"/>
      <c r="Y88" s="96"/>
      <c r="Z88" s="96"/>
      <c r="AA88" s="96"/>
      <c r="AB88" s="96"/>
      <c r="AC88" s="96"/>
      <c r="AD88" s="96"/>
      <c r="AE88" s="27"/>
      <c r="AF88" s="94"/>
      <c r="AG88" s="94"/>
      <c r="AH88" s="94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</row>
    <row r="89" spans="1:48" ht="12" customHeight="1" x14ac:dyDescent="0.25">
      <c r="A89" s="27"/>
      <c r="B89" s="94"/>
      <c r="C89" s="96"/>
      <c r="D89" s="96"/>
      <c r="E89" s="94"/>
      <c r="F89" s="94"/>
      <c r="G89" s="94"/>
      <c r="H89" s="27"/>
      <c r="I89" s="27"/>
      <c r="J89" s="27"/>
      <c r="K89" s="96"/>
      <c r="L89" s="97"/>
      <c r="M89" s="94"/>
      <c r="N89" s="97"/>
      <c r="O89" s="27"/>
      <c r="P89" s="94"/>
      <c r="Q89" s="27"/>
      <c r="R89" s="27"/>
      <c r="S89" s="27"/>
      <c r="T89" s="27"/>
      <c r="U89" s="96"/>
      <c r="V89" s="96"/>
      <c r="W89" s="96"/>
      <c r="X89" s="96"/>
      <c r="Y89" s="96"/>
      <c r="Z89" s="96"/>
      <c r="AA89" s="96"/>
      <c r="AB89" s="96"/>
      <c r="AC89" s="96"/>
      <c r="AD89" s="96"/>
      <c r="AE89" s="27"/>
      <c r="AF89" s="94"/>
      <c r="AG89" s="94"/>
      <c r="AH89" s="94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</row>
    <row r="90" spans="1:48" ht="12" customHeight="1" x14ac:dyDescent="0.25">
      <c r="A90" s="27"/>
      <c r="B90" s="94"/>
      <c r="C90" s="96"/>
      <c r="D90" s="96"/>
      <c r="E90" s="94"/>
      <c r="F90" s="94"/>
      <c r="G90" s="94"/>
      <c r="H90" s="27"/>
      <c r="I90" s="27"/>
      <c r="J90" s="27"/>
      <c r="K90" s="96"/>
      <c r="L90" s="97"/>
      <c r="M90" s="94"/>
      <c r="N90" s="97"/>
      <c r="O90" s="27"/>
      <c r="P90" s="94"/>
      <c r="Q90" s="27"/>
      <c r="R90" s="27"/>
      <c r="S90" s="27"/>
      <c r="T90" s="27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27"/>
      <c r="AF90" s="94"/>
      <c r="AG90" s="94"/>
      <c r="AH90" s="94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</row>
    <row r="91" spans="1:48" ht="12" customHeight="1" x14ac:dyDescent="0.25">
      <c r="A91" s="27"/>
      <c r="B91" s="94"/>
      <c r="C91" s="96"/>
      <c r="D91" s="96"/>
      <c r="E91" s="94"/>
      <c r="F91" s="94"/>
      <c r="G91" s="94"/>
      <c r="H91" s="27"/>
      <c r="I91" s="27"/>
      <c r="J91" s="27"/>
      <c r="K91" s="96"/>
      <c r="L91" s="97"/>
      <c r="M91" s="94"/>
      <c r="N91" s="97"/>
      <c r="O91" s="27"/>
      <c r="P91" s="94"/>
      <c r="Q91" s="27"/>
      <c r="R91" s="27"/>
      <c r="S91" s="27"/>
      <c r="T91" s="27"/>
      <c r="U91" s="96"/>
      <c r="V91" s="96"/>
      <c r="W91" s="96"/>
      <c r="X91" s="96"/>
      <c r="Y91" s="96"/>
      <c r="Z91" s="96"/>
      <c r="AA91" s="96"/>
      <c r="AB91" s="96"/>
      <c r="AC91" s="96"/>
      <c r="AD91" s="96"/>
      <c r="AE91" s="27"/>
      <c r="AF91" s="94"/>
      <c r="AG91" s="94"/>
      <c r="AH91" s="94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</row>
    <row r="92" spans="1:48" ht="12" customHeight="1" x14ac:dyDescent="0.25">
      <c r="A92" s="27"/>
      <c r="B92" s="94"/>
      <c r="C92" s="96"/>
      <c r="D92" s="96"/>
      <c r="E92" s="94"/>
      <c r="F92" s="94"/>
      <c r="G92" s="94"/>
      <c r="H92" s="27"/>
      <c r="I92" s="27"/>
      <c r="J92" s="27"/>
      <c r="K92" s="96"/>
      <c r="L92" s="97"/>
      <c r="M92" s="94"/>
      <c r="N92" s="97"/>
      <c r="O92" s="27"/>
      <c r="P92" s="94"/>
      <c r="Q92" s="27"/>
      <c r="R92" s="27"/>
      <c r="S92" s="27"/>
      <c r="T92" s="27"/>
      <c r="U92" s="96"/>
      <c r="V92" s="96"/>
      <c r="W92" s="96"/>
      <c r="X92" s="96"/>
      <c r="Y92" s="96"/>
      <c r="Z92" s="96"/>
      <c r="AA92" s="96"/>
      <c r="AB92" s="96"/>
      <c r="AC92" s="96"/>
      <c r="AD92" s="96"/>
      <c r="AE92" s="27"/>
      <c r="AF92" s="94"/>
      <c r="AG92" s="94"/>
      <c r="AH92" s="94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</row>
    <row r="93" spans="1:48" ht="12" customHeight="1" x14ac:dyDescent="0.25">
      <c r="A93" s="27"/>
      <c r="B93" s="94"/>
      <c r="C93" s="96"/>
      <c r="D93" s="96"/>
      <c r="E93" s="94"/>
      <c r="F93" s="94"/>
      <c r="G93" s="94"/>
      <c r="H93" s="27"/>
      <c r="I93" s="27"/>
      <c r="J93" s="27"/>
      <c r="K93" s="96"/>
      <c r="L93" s="97"/>
      <c r="M93" s="94"/>
      <c r="N93" s="97"/>
      <c r="O93" s="27"/>
      <c r="P93" s="94"/>
      <c r="Q93" s="27"/>
      <c r="R93" s="27"/>
      <c r="S93" s="27"/>
      <c r="T93" s="27"/>
      <c r="U93" s="96"/>
      <c r="V93" s="96"/>
      <c r="W93" s="96"/>
      <c r="X93" s="96"/>
      <c r="Y93" s="96"/>
      <c r="Z93" s="96"/>
      <c r="AA93" s="96"/>
      <c r="AB93" s="96"/>
      <c r="AC93" s="96"/>
      <c r="AD93" s="96"/>
      <c r="AE93" s="27"/>
      <c r="AF93" s="94"/>
      <c r="AG93" s="94"/>
      <c r="AH93" s="94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</row>
    <row r="94" spans="1:48" ht="12" customHeight="1" x14ac:dyDescent="0.25">
      <c r="A94" s="27"/>
      <c r="B94" s="94"/>
      <c r="C94" s="96"/>
      <c r="D94" s="96"/>
      <c r="E94" s="94"/>
      <c r="F94" s="94"/>
      <c r="G94" s="94"/>
      <c r="H94" s="27"/>
      <c r="I94" s="27"/>
      <c r="J94" s="27"/>
      <c r="K94" s="96"/>
      <c r="L94" s="97"/>
      <c r="M94" s="94"/>
      <c r="N94" s="97"/>
      <c r="O94" s="27"/>
      <c r="P94" s="94"/>
      <c r="Q94" s="27"/>
      <c r="R94" s="27"/>
      <c r="S94" s="27"/>
      <c r="T94" s="27"/>
      <c r="U94" s="96"/>
      <c r="V94" s="96"/>
      <c r="W94" s="96"/>
      <c r="X94" s="96"/>
      <c r="Y94" s="96"/>
      <c r="Z94" s="96"/>
      <c r="AA94" s="96"/>
      <c r="AB94" s="96"/>
      <c r="AC94" s="96"/>
      <c r="AD94" s="96"/>
      <c r="AE94" s="27"/>
      <c r="AF94" s="94"/>
      <c r="AG94" s="94"/>
      <c r="AH94" s="94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</row>
    <row r="95" spans="1:48" ht="12" customHeight="1" x14ac:dyDescent="0.25">
      <c r="A95" s="27"/>
      <c r="B95" s="94"/>
      <c r="C95" s="96"/>
      <c r="D95" s="96"/>
      <c r="E95" s="94"/>
      <c r="F95" s="94"/>
      <c r="G95" s="94"/>
      <c r="H95" s="27"/>
      <c r="I95" s="27"/>
      <c r="J95" s="27"/>
      <c r="K95" s="96"/>
      <c r="L95" s="97"/>
      <c r="M95" s="94"/>
      <c r="N95" s="97"/>
      <c r="O95" s="27"/>
      <c r="P95" s="94"/>
      <c r="Q95" s="27"/>
      <c r="R95" s="27"/>
      <c r="S95" s="27"/>
      <c r="T95" s="27"/>
      <c r="U95" s="96"/>
      <c r="V95" s="96"/>
      <c r="W95" s="96"/>
      <c r="X95" s="96"/>
      <c r="Y95" s="96"/>
      <c r="Z95" s="96"/>
      <c r="AA95" s="96"/>
      <c r="AB95" s="96"/>
      <c r="AC95" s="96"/>
      <c r="AD95" s="96"/>
      <c r="AE95" s="27"/>
      <c r="AF95" s="94"/>
      <c r="AG95" s="94"/>
      <c r="AH95" s="94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</row>
    <row r="96" spans="1:48" ht="12" customHeight="1" x14ac:dyDescent="0.25">
      <c r="A96" s="27"/>
      <c r="B96" s="94"/>
      <c r="C96" s="96"/>
      <c r="D96" s="96"/>
      <c r="E96" s="94"/>
      <c r="F96" s="94"/>
      <c r="G96" s="94"/>
      <c r="H96" s="27"/>
      <c r="I96" s="27"/>
      <c r="J96" s="27"/>
      <c r="K96" s="96"/>
      <c r="L96" s="97"/>
      <c r="M96" s="94"/>
      <c r="N96" s="97"/>
      <c r="O96" s="27"/>
      <c r="P96" s="94"/>
      <c r="Q96" s="27"/>
      <c r="R96" s="27"/>
      <c r="S96" s="27"/>
      <c r="T96" s="27"/>
      <c r="U96" s="96"/>
      <c r="V96" s="96"/>
      <c r="W96" s="96"/>
      <c r="X96" s="96"/>
      <c r="Y96" s="96"/>
      <c r="Z96" s="96"/>
      <c r="AA96" s="96"/>
      <c r="AB96" s="96"/>
      <c r="AC96" s="96"/>
      <c r="AD96" s="96"/>
      <c r="AE96" s="27"/>
      <c r="AF96" s="94"/>
      <c r="AG96" s="94"/>
      <c r="AH96" s="94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</row>
    <row r="97" spans="1:48" ht="12" customHeight="1" x14ac:dyDescent="0.25">
      <c r="A97" s="27"/>
      <c r="B97" s="94"/>
      <c r="C97" s="96"/>
      <c r="D97" s="96"/>
      <c r="E97" s="94"/>
      <c r="F97" s="94"/>
      <c r="G97" s="94"/>
      <c r="H97" s="27"/>
      <c r="I97" s="27"/>
      <c r="J97" s="27"/>
      <c r="K97" s="96"/>
      <c r="L97" s="97"/>
      <c r="M97" s="94"/>
      <c r="N97" s="97"/>
      <c r="O97" s="27"/>
      <c r="P97" s="94"/>
      <c r="Q97" s="27"/>
      <c r="R97" s="27"/>
      <c r="S97" s="27"/>
      <c r="T97" s="27"/>
      <c r="U97" s="96"/>
      <c r="V97" s="96"/>
      <c r="W97" s="96"/>
      <c r="X97" s="96"/>
      <c r="Y97" s="96"/>
      <c r="Z97" s="96"/>
      <c r="AA97" s="96"/>
      <c r="AB97" s="96"/>
      <c r="AC97" s="96"/>
      <c r="AD97" s="96"/>
      <c r="AE97" s="27"/>
      <c r="AF97" s="94"/>
      <c r="AG97" s="94"/>
      <c r="AH97" s="94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</row>
    <row r="98" spans="1:48" ht="12" customHeight="1" x14ac:dyDescent="0.25">
      <c r="A98" s="27"/>
      <c r="B98" s="94"/>
      <c r="C98" s="96"/>
      <c r="D98" s="96"/>
      <c r="E98" s="94"/>
      <c r="F98" s="94"/>
      <c r="G98" s="94"/>
      <c r="H98" s="27"/>
      <c r="I98" s="27"/>
      <c r="J98" s="27"/>
      <c r="K98" s="96"/>
      <c r="L98" s="97"/>
      <c r="M98" s="94"/>
      <c r="N98" s="97"/>
      <c r="O98" s="27"/>
      <c r="P98" s="94"/>
      <c r="Q98" s="27"/>
      <c r="R98" s="27"/>
      <c r="S98" s="27"/>
      <c r="T98" s="27"/>
      <c r="U98" s="96"/>
      <c r="V98" s="96"/>
      <c r="W98" s="96"/>
      <c r="X98" s="96"/>
      <c r="Y98" s="96"/>
      <c r="Z98" s="96"/>
      <c r="AA98" s="96"/>
      <c r="AB98" s="96"/>
      <c r="AC98" s="96"/>
      <c r="AD98" s="96"/>
      <c r="AE98" s="27"/>
      <c r="AF98" s="94"/>
      <c r="AG98" s="94"/>
      <c r="AH98" s="94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</row>
    <row r="99" spans="1:48" ht="12" customHeight="1" x14ac:dyDescent="0.25">
      <c r="A99" s="27"/>
      <c r="B99" s="94"/>
      <c r="C99" s="96"/>
      <c r="D99" s="96"/>
      <c r="E99" s="94"/>
      <c r="F99" s="94"/>
      <c r="G99" s="94"/>
      <c r="H99" s="27"/>
      <c r="I99" s="27"/>
      <c r="J99" s="27"/>
      <c r="K99" s="96"/>
      <c r="L99" s="97"/>
      <c r="M99" s="94"/>
      <c r="N99" s="97"/>
      <c r="O99" s="27"/>
      <c r="P99" s="94"/>
      <c r="Q99" s="27"/>
      <c r="R99" s="27"/>
      <c r="S99" s="27"/>
      <c r="T99" s="27"/>
      <c r="U99" s="96"/>
      <c r="V99" s="96"/>
      <c r="W99" s="96"/>
      <c r="X99" s="96"/>
      <c r="Y99" s="96"/>
      <c r="Z99" s="96"/>
      <c r="AA99" s="96"/>
      <c r="AB99" s="96"/>
      <c r="AC99" s="96"/>
      <c r="AD99" s="96"/>
      <c r="AE99" s="27"/>
      <c r="AF99" s="94"/>
      <c r="AG99" s="94"/>
      <c r="AH99" s="94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</row>
    <row r="100" spans="1:48" ht="12" customHeight="1" x14ac:dyDescent="0.25">
      <c r="A100" s="27"/>
      <c r="B100" s="94"/>
      <c r="C100" s="96"/>
      <c r="D100" s="96"/>
      <c r="E100" s="94"/>
      <c r="F100" s="94"/>
      <c r="G100" s="94"/>
      <c r="H100" s="27"/>
      <c r="I100" s="27"/>
      <c r="J100" s="27"/>
      <c r="K100" s="96"/>
      <c r="L100" s="97"/>
      <c r="M100" s="94"/>
      <c r="N100" s="97"/>
      <c r="O100" s="27"/>
      <c r="P100" s="94"/>
      <c r="Q100" s="27"/>
      <c r="R100" s="27"/>
      <c r="S100" s="27"/>
      <c r="T100" s="27"/>
      <c r="U100" s="96"/>
      <c r="V100" s="96"/>
      <c r="W100" s="96"/>
      <c r="X100" s="96"/>
      <c r="Y100" s="96"/>
      <c r="Z100" s="96"/>
      <c r="AA100" s="96"/>
      <c r="AB100" s="96"/>
      <c r="AC100" s="96"/>
      <c r="AD100" s="96"/>
      <c r="AE100" s="27"/>
      <c r="AF100" s="94"/>
      <c r="AG100" s="94"/>
      <c r="AH100" s="94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</row>
  </sheetData>
  <autoFilter ref="A3:AV8" xr:uid="{00000000-0009-0000-0000-000003000000}"/>
  <mergeCells count="7">
    <mergeCell ref="AG2:AN2"/>
    <mergeCell ref="AE2:AF2"/>
    <mergeCell ref="P2:Q2"/>
    <mergeCell ref="R2:S2"/>
    <mergeCell ref="U3:V3"/>
    <mergeCell ref="U2:V2"/>
    <mergeCell ref="W2:AD2"/>
  </mergeCells>
  <pageMargins left="0.7" right="0.7" top="0.75" bottom="0.75" header="0" footer="0"/>
  <pageSetup paperSize="9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100"/>
  <sheetViews>
    <sheetView workbookViewId="0">
      <pane xSplit="1" topLeftCell="B1" activePane="topRight" state="frozen"/>
      <selection pane="topRight" activeCell="P3" sqref="P3"/>
    </sheetView>
  </sheetViews>
  <sheetFormatPr defaultColWidth="14.42578125" defaultRowHeight="15" customHeight="1" x14ac:dyDescent="0.25"/>
  <cols>
    <col min="1" max="1" width="20.28515625" customWidth="1"/>
    <col min="2" max="2" width="11" customWidth="1"/>
    <col min="3" max="3" width="14.5703125" customWidth="1"/>
    <col min="4" max="4" width="17.42578125" customWidth="1"/>
    <col min="5" max="5" width="15.140625" customWidth="1"/>
    <col min="6" max="7" width="11.5703125" customWidth="1"/>
    <col min="8" max="8" width="14.140625" customWidth="1"/>
    <col min="9" max="9" width="11.5703125" customWidth="1"/>
    <col min="10" max="11" width="12.85546875" customWidth="1"/>
    <col min="12" max="12" width="15.140625" customWidth="1"/>
    <col min="13" max="13" width="16.28515625" customWidth="1"/>
    <col min="14" max="14" width="13.7109375" customWidth="1"/>
    <col min="15" max="15" width="14.28515625" customWidth="1"/>
    <col min="16" max="16" width="13.85546875" customWidth="1"/>
    <col min="17" max="17" width="13.28515625" customWidth="1"/>
    <col min="18" max="18" width="14" customWidth="1"/>
    <col min="19" max="19" width="43.5703125" customWidth="1"/>
  </cols>
  <sheetData>
    <row r="1" spans="1:19" ht="12" customHeight="1" x14ac:dyDescent="0.25">
      <c r="A1" s="339"/>
      <c r="B1" s="340"/>
      <c r="C1" s="340"/>
      <c r="D1" s="341"/>
      <c r="E1" s="342"/>
      <c r="F1" s="343"/>
      <c r="G1" s="343"/>
      <c r="H1" s="343"/>
      <c r="I1" s="343"/>
      <c r="J1" s="344"/>
      <c r="K1" s="344"/>
      <c r="L1" s="343"/>
      <c r="M1" s="343"/>
      <c r="N1" s="343"/>
      <c r="O1" s="343"/>
      <c r="P1" s="343"/>
      <c r="Q1" s="343"/>
      <c r="R1" s="343"/>
      <c r="S1" s="343"/>
    </row>
    <row r="2" spans="1:19" ht="29.25" customHeight="1" x14ac:dyDescent="0.25">
      <c r="A2" s="345" t="s">
        <v>95</v>
      </c>
      <c r="B2" s="346" t="s">
        <v>4</v>
      </c>
      <c r="C2" s="347" t="s">
        <v>187</v>
      </c>
      <c r="D2" s="347" t="s">
        <v>17</v>
      </c>
      <c r="E2" s="347" t="s">
        <v>18</v>
      </c>
      <c r="F2" s="348" t="s">
        <v>188</v>
      </c>
      <c r="G2" s="348" t="s">
        <v>189</v>
      </c>
      <c r="H2" s="348" t="s">
        <v>190</v>
      </c>
      <c r="I2" s="348" t="s">
        <v>191</v>
      </c>
      <c r="J2" s="347" t="s">
        <v>192</v>
      </c>
      <c r="K2" s="347" t="s">
        <v>193</v>
      </c>
      <c r="L2" s="347" t="s">
        <v>194</v>
      </c>
      <c r="M2" s="347" t="s">
        <v>195</v>
      </c>
      <c r="N2" s="347" t="s">
        <v>196</v>
      </c>
      <c r="O2" s="347" t="s">
        <v>197</v>
      </c>
      <c r="P2" s="347" t="s">
        <v>106</v>
      </c>
      <c r="Q2" s="347" t="s">
        <v>198</v>
      </c>
      <c r="R2" s="347" t="s">
        <v>199</v>
      </c>
      <c r="S2" s="347" t="s">
        <v>200</v>
      </c>
    </row>
    <row r="3" spans="1:19" ht="70.5" customHeight="1" x14ac:dyDescent="0.25">
      <c r="A3" s="349" t="str">
        <f>IMPORT!A4</f>
        <v>ACBD</v>
      </c>
      <c r="B3" s="350" t="str">
        <f>IMPORT!B4</f>
        <v>Turkey</v>
      </c>
      <c r="C3" s="351" t="s">
        <v>201</v>
      </c>
      <c r="D3" s="352" t="str">
        <f>IMPORT!O4</f>
        <v>API2024000000087</v>
      </c>
      <c r="E3" s="353">
        <f>IMPORT!P4</f>
        <v>45309</v>
      </c>
      <c r="F3" s="354">
        <v>45310</v>
      </c>
      <c r="G3" s="355" t="s">
        <v>202</v>
      </c>
      <c r="H3" s="354" t="s">
        <v>144</v>
      </c>
      <c r="I3" s="356">
        <f>IF(ISBLANK('Follow up'!$F3),"-",'Follow up'!$F3+3)</f>
        <v>45313</v>
      </c>
      <c r="J3" s="357" t="s">
        <v>203</v>
      </c>
      <c r="K3" s="354">
        <v>45313</v>
      </c>
      <c r="L3" s="354">
        <v>45314</v>
      </c>
      <c r="M3" s="354"/>
      <c r="N3" s="354"/>
      <c r="O3" s="354">
        <v>45316</v>
      </c>
      <c r="P3" s="358">
        <v>45316</v>
      </c>
      <c r="Q3" s="359" t="s">
        <v>204</v>
      </c>
      <c r="R3" s="360">
        <v>7676014</v>
      </c>
      <c r="S3" s="361"/>
    </row>
    <row r="4" spans="1:19" ht="58.5" customHeight="1" x14ac:dyDescent="0.25">
      <c r="A4" s="349" t="str">
        <f>IMPORT!A5</f>
        <v>DMAG</v>
      </c>
      <c r="B4" s="350" t="str">
        <f>IMPORT!B5</f>
        <v>Italy</v>
      </c>
      <c r="C4" s="351" t="s">
        <v>205</v>
      </c>
      <c r="D4" s="352" t="str">
        <f>IMPORT!O5</f>
        <v>ITS2024000000003</v>
      </c>
      <c r="E4" s="353">
        <f>IMPORT!P5</f>
        <v>45314</v>
      </c>
      <c r="F4" s="354">
        <v>45317</v>
      </c>
      <c r="G4" s="354">
        <v>45317</v>
      </c>
      <c r="H4" s="354" t="s">
        <v>144</v>
      </c>
      <c r="I4" s="356">
        <f>IF(ISBLANK('Follow up'!$F4),"-",'Follow up'!$F4+3)</f>
        <v>45320</v>
      </c>
      <c r="J4" s="357" t="s">
        <v>206</v>
      </c>
      <c r="K4" s="354">
        <v>45318</v>
      </c>
      <c r="L4" s="354">
        <v>45318</v>
      </c>
      <c r="M4" s="354">
        <v>45318</v>
      </c>
      <c r="N4" s="354">
        <v>45318</v>
      </c>
      <c r="O4" s="362">
        <v>45320</v>
      </c>
      <c r="P4" s="358">
        <v>45322</v>
      </c>
      <c r="Q4" s="359" t="s">
        <v>207</v>
      </c>
      <c r="R4" s="360">
        <v>4462366</v>
      </c>
      <c r="S4" s="361"/>
    </row>
    <row r="5" spans="1:19" ht="27.75" customHeight="1" x14ac:dyDescent="0.25">
      <c r="A5" s="349"/>
      <c r="B5" s="350"/>
      <c r="C5" s="351"/>
      <c r="D5" s="352"/>
      <c r="E5" s="353"/>
      <c r="F5" s="354"/>
      <c r="G5" s="354"/>
      <c r="H5" s="363"/>
      <c r="I5" s="354" t="str">
        <f>IF(ISBLANK('Follow up'!$F5),"-",'Follow up'!$F5+3)</f>
        <v>-</v>
      </c>
      <c r="J5" s="364"/>
      <c r="K5" s="354"/>
      <c r="L5" s="354"/>
      <c r="M5" s="354"/>
      <c r="N5" s="354"/>
      <c r="O5" s="354"/>
      <c r="P5" s="354"/>
      <c r="Q5" s="365"/>
      <c r="R5" s="360"/>
      <c r="S5" s="366"/>
    </row>
    <row r="6" spans="1:19" ht="27.75" customHeight="1" x14ac:dyDescent="0.25">
      <c r="A6" s="349"/>
      <c r="B6" s="350"/>
      <c r="C6" s="351"/>
      <c r="D6" s="352"/>
      <c r="E6" s="353"/>
      <c r="F6" s="354"/>
      <c r="G6" s="354"/>
      <c r="H6" s="363"/>
      <c r="I6" s="354" t="str">
        <f>IF(ISBLANK('Follow up'!$F6),"-",'Follow up'!$F6+3)</f>
        <v>-</v>
      </c>
      <c r="J6" s="364"/>
      <c r="K6" s="354"/>
      <c r="L6" s="354"/>
      <c r="M6" s="354"/>
      <c r="N6" s="354"/>
      <c r="O6" s="354"/>
      <c r="P6" s="354"/>
      <c r="Q6" s="365"/>
      <c r="R6" s="360"/>
      <c r="S6" s="366"/>
    </row>
    <row r="7" spans="1:19" ht="20.25" customHeight="1" x14ac:dyDescent="0.25">
      <c r="A7" s="349"/>
      <c r="B7" s="350"/>
      <c r="C7" s="351"/>
      <c r="D7" s="352"/>
      <c r="E7" s="353"/>
      <c r="F7" s="354"/>
      <c r="G7" s="354"/>
      <c r="H7" s="363"/>
      <c r="I7" s="354" t="str">
        <f>IF(ISBLANK('Follow up'!$F7),"-",'Follow up'!$F7+3)</f>
        <v>-</v>
      </c>
      <c r="J7" s="364"/>
      <c r="K7" s="354"/>
      <c r="L7" s="354"/>
      <c r="M7" s="354"/>
      <c r="N7" s="354"/>
      <c r="O7" s="354"/>
      <c r="P7" s="354"/>
      <c r="Q7" s="365"/>
      <c r="R7" s="360"/>
      <c r="S7" s="366"/>
    </row>
    <row r="8" spans="1:19" ht="20.25" customHeight="1" x14ac:dyDescent="0.25">
      <c r="A8" s="349"/>
      <c r="B8" s="350"/>
      <c r="C8" s="351"/>
      <c r="D8" s="352"/>
      <c r="E8" s="353"/>
      <c r="F8" s="354"/>
      <c r="G8" s="354"/>
      <c r="H8" s="363"/>
      <c r="I8" s="354" t="str">
        <f>IF(ISBLANK('Follow up'!$F8),"-",'Follow up'!$F8+3)</f>
        <v>-</v>
      </c>
      <c r="J8" s="364"/>
      <c r="K8" s="354"/>
      <c r="L8" s="354"/>
      <c r="M8" s="354"/>
      <c r="N8" s="354"/>
      <c r="O8" s="354"/>
      <c r="P8" s="354"/>
      <c r="Q8" s="365"/>
      <c r="R8" s="360"/>
      <c r="S8" s="366"/>
    </row>
    <row r="9" spans="1:19" ht="14.25" customHeight="1" x14ac:dyDescent="0.25">
      <c r="A9" s="340"/>
      <c r="B9" s="340"/>
      <c r="C9" s="340"/>
      <c r="D9" s="341"/>
      <c r="E9" s="342"/>
      <c r="J9" s="343"/>
      <c r="K9" s="343"/>
      <c r="L9" s="344"/>
      <c r="M9" s="343"/>
      <c r="N9" s="343"/>
      <c r="O9" s="343"/>
      <c r="P9" s="343"/>
      <c r="Q9" s="343"/>
      <c r="R9" s="343"/>
      <c r="S9" s="343"/>
    </row>
    <row r="10" spans="1:19" ht="14.25" customHeight="1" x14ac:dyDescent="0.25">
      <c r="A10" s="340"/>
      <c r="B10" s="340"/>
      <c r="C10" s="340"/>
      <c r="D10" s="341"/>
      <c r="E10" s="342"/>
      <c r="J10" s="343"/>
      <c r="K10" s="343"/>
      <c r="L10" s="344"/>
      <c r="M10" s="343"/>
      <c r="N10" s="343"/>
      <c r="O10" s="343"/>
      <c r="P10" s="343"/>
      <c r="Q10" s="343"/>
      <c r="R10" s="343"/>
      <c r="S10" s="343"/>
    </row>
    <row r="11" spans="1:19" ht="14.25" customHeight="1" x14ac:dyDescent="0.25">
      <c r="A11" s="340"/>
      <c r="B11" s="340"/>
      <c r="C11" s="340"/>
      <c r="D11" s="341"/>
      <c r="E11" s="342"/>
      <c r="J11" s="343"/>
      <c r="K11" s="343"/>
      <c r="L11" s="344"/>
      <c r="M11" s="343"/>
      <c r="N11" s="343"/>
      <c r="O11" s="343"/>
      <c r="P11" s="343"/>
      <c r="Q11" s="343"/>
      <c r="R11" s="343"/>
      <c r="S11" s="343"/>
    </row>
    <row r="12" spans="1:19" ht="14.25" customHeight="1" x14ac:dyDescent="0.25">
      <c r="A12" s="340"/>
      <c r="B12" s="340"/>
      <c r="C12" s="340"/>
      <c r="D12" s="341"/>
      <c r="E12" s="342"/>
      <c r="J12" s="343"/>
      <c r="K12" s="343"/>
      <c r="L12" s="344"/>
      <c r="M12" s="343"/>
      <c r="N12" s="343"/>
      <c r="O12" s="343"/>
      <c r="P12" s="343"/>
      <c r="Q12" s="343"/>
      <c r="R12" s="343"/>
      <c r="S12" s="343"/>
    </row>
    <row r="13" spans="1:19" ht="14.25" customHeight="1" x14ac:dyDescent="0.25">
      <c r="A13" s="340"/>
      <c r="B13" s="340"/>
      <c r="C13" s="340"/>
      <c r="D13" s="341"/>
      <c r="E13" s="342"/>
      <c r="J13" s="343"/>
      <c r="K13" s="343"/>
      <c r="L13" s="344"/>
      <c r="M13" s="343"/>
      <c r="N13" s="343"/>
      <c r="O13" s="343"/>
      <c r="P13" s="343"/>
      <c r="Q13" s="343"/>
      <c r="R13" s="343"/>
      <c r="S13" s="343"/>
    </row>
    <row r="14" spans="1:19" ht="14.25" customHeight="1" x14ac:dyDescent="0.25">
      <c r="A14" s="340"/>
      <c r="B14" s="340"/>
      <c r="C14" s="340"/>
      <c r="D14" s="341"/>
      <c r="E14" s="342"/>
      <c r="J14" s="343"/>
      <c r="K14" s="343"/>
      <c r="L14" s="344"/>
      <c r="M14" s="343"/>
      <c r="N14" s="343"/>
      <c r="O14" s="343"/>
      <c r="P14" s="343"/>
      <c r="Q14" s="343"/>
      <c r="R14" s="343"/>
      <c r="S14" s="343"/>
    </row>
    <row r="15" spans="1:19" ht="14.25" customHeight="1" x14ac:dyDescent="0.25">
      <c r="A15" s="340"/>
      <c r="B15" s="340"/>
      <c r="C15" s="340"/>
      <c r="D15" s="341"/>
      <c r="E15" s="342"/>
      <c r="J15" s="343"/>
      <c r="K15" s="343"/>
      <c r="L15" s="344"/>
      <c r="M15" s="343"/>
      <c r="N15" s="343"/>
      <c r="O15" s="343"/>
      <c r="P15" s="343"/>
      <c r="Q15" s="343"/>
      <c r="R15" s="343"/>
      <c r="S15" s="343"/>
    </row>
    <row r="16" spans="1:19" ht="14.25" customHeight="1" x14ac:dyDescent="0.25">
      <c r="A16" s="340"/>
      <c r="B16" s="340"/>
      <c r="C16" s="340"/>
      <c r="D16" s="341"/>
      <c r="E16" s="342"/>
      <c r="J16" s="343"/>
      <c r="K16" s="343"/>
      <c r="L16" s="344"/>
      <c r="M16" s="343"/>
      <c r="N16" s="343"/>
      <c r="O16" s="343"/>
      <c r="P16" s="343"/>
      <c r="Q16" s="343"/>
      <c r="R16" s="343"/>
      <c r="S16" s="343"/>
    </row>
    <row r="17" spans="1:19" ht="14.25" customHeight="1" x14ac:dyDescent="0.25">
      <c r="A17" s="340"/>
      <c r="B17" s="340"/>
      <c r="C17" s="340"/>
      <c r="D17" s="341"/>
      <c r="E17" s="342"/>
      <c r="J17" s="343"/>
      <c r="K17" s="343"/>
      <c r="L17" s="344"/>
      <c r="M17" s="343"/>
      <c r="N17" s="343"/>
      <c r="O17" s="343"/>
      <c r="P17" s="343"/>
      <c r="Q17" s="343"/>
      <c r="R17" s="343"/>
      <c r="S17" s="343"/>
    </row>
    <row r="18" spans="1:19" ht="14.25" customHeight="1" x14ac:dyDescent="0.25">
      <c r="A18" s="340"/>
      <c r="B18" s="340"/>
      <c r="C18" s="340"/>
      <c r="D18" s="341"/>
      <c r="E18" s="342"/>
      <c r="J18" s="343"/>
      <c r="K18" s="343"/>
      <c r="L18" s="344"/>
      <c r="M18" s="343"/>
      <c r="N18" s="343"/>
      <c r="O18" s="343"/>
      <c r="P18" s="343"/>
      <c r="Q18" s="343"/>
      <c r="R18" s="343"/>
      <c r="S18" s="343"/>
    </row>
    <row r="19" spans="1:19" ht="14.25" customHeight="1" x14ac:dyDescent="0.25">
      <c r="A19" s="340"/>
      <c r="B19" s="340"/>
      <c r="C19" s="340"/>
      <c r="D19" s="341"/>
      <c r="E19" s="342"/>
      <c r="J19" s="343"/>
      <c r="K19" s="343"/>
      <c r="L19" s="344"/>
      <c r="M19" s="343"/>
      <c r="N19" s="343"/>
      <c r="O19" s="343"/>
      <c r="P19" s="343"/>
      <c r="Q19" s="343"/>
      <c r="R19" s="343"/>
      <c r="S19" s="343"/>
    </row>
    <row r="20" spans="1:19" ht="14.25" customHeight="1" x14ac:dyDescent="0.25">
      <c r="A20" s="340"/>
      <c r="B20" s="340"/>
      <c r="C20" s="340"/>
      <c r="D20" s="341"/>
      <c r="E20" s="342"/>
      <c r="J20" s="343"/>
      <c r="K20" s="343"/>
      <c r="L20" s="344"/>
      <c r="M20" s="343"/>
      <c r="N20" s="343"/>
      <c r="O20" s="343"/>
      <c r="P20" s="343"/>
      <c r="Q20" s="343"/>
      <c r="R20" s="343"/>
      <c r="S20" s="343"/>
    </row>
    <row r="21" spans="1:19" ht="14.25" customHeight="1" x14ac:dyDescent="0.25">
      <c r="A21" s="340"/>
      <c r="B21" s="340"/>
      <c r="C21" s="340"/>
      <c r="D21" s="341"/>
      <c r="E21" s="342"/>
      <c r="J21" s="343"/>
      <c r="K21" s="343"/>
      <c r="L21" s="344"/>
      <c r="M21" s="343"/>
      <c r="N21" s="343"/>
      <c r="O21" s="343"/>
      <c r="P21" s="343"/>
      <c r="Q21" s="343"/>
      <c r="R21" s="343"/>
      <c r="S21" s="343"/>
    </row>
    <row r="22" spans="1:19" ht="14.25" customHeight="1" x14ac:dyDescent="0.25">
      <c r="A22" s="340"/>
      <c r="B22" s="340"/>
      <c r="C22" s="340"/>
      <c r="D22" s="341"/>
      <c r="E22" s="342"/>
      <c r="J22" s="343"/>
      <c r="K22" s="343"/>
      <c r="L22" s="344"/>
      <c r="M22" s="343"/>
      <c r="N22" s="343"/>
      <c r="O22" s="343"/>
      <c r="P22" s="343"/>
      <c r="Q22" s="343"/>
      <c r="R22" s="343"/>
      <c r="S22" s="343"/>
    </row>
    <row r="23" spans="1:19" ht="14.25" customHeight="1" x14ac:dyDescent="0.25">
      <c r="A23" s="340"/>
      <c r="B23" s="340"/>
      <c r="C23" s="340"/>
      <c r="D23" s="341"/>
      <c r="E23" s="342"/>
      <c r="J23" s="343"/>
      <c r="K23" s="343"/>
      <c r="L23" s="344"/>
      <c r="M23" s="343"/>
      <c r="N23" s="343"/>
      <c r="O23" s="343"/>
      <c r="P23" s="343"/>
      <c r="Q23" s="343"/>
      <c r="R23" s="343"/>
      <c r="S23" s="343"/>
    </row>
    <row r="24" spans="1:19" ht="14.25" customHeight="1" x14ac:dyDescent="0.25">
      <c r="A24" s="340"/>
      <c r="B24" s="340"/>
      <c r="C24" s="340"/>
      <c r="D24" s="341"/>
      <c r="E24" s="342"/>
      <c r="J24" s="343"/>
      <c r="K24" s="343"/>
      <c r="L24" s="344"/>
      <c r="M24" s="343"/>
      <c r="N24" s="343"/>
      <c r="O24" s="343"/>
      <c r="P24" s="343"/>
      <c r="Q24" s="343"/>
      <c r="R24" s="343"/>
      <c r="S24" s="343"/>
    </row>
    <row r="25" spans="1:19" ht="14.25" customHeight="1" x14ac:dyDescent="0.25">
      <c r="A25" s="340"/>
      <c r="B25" s="340"/>
      <c r="C25" s="340"/>
      <c r="D25" s="341"/>
      <c r="E25" s="342"/>
      <c r="J25" s="343"/>
      <c r="K25" s="343"/>
      <c r="L25" s="344"/>
      <c r="M25" s="343"/>
      <c r="N25" s="343"/>
      <c r="O25" s="343"/>
      <c r="P25" s="343"/>
      <c r="Q25" s="343"/>
      <c r="R25" s="343"/>
      <c r="S25" s="343"/>
    </row>
    <row r="26" spans="1:19" ht="14.25" customHeight="1" x14ac:dyDescent="0.25">
      <c r="A26" s="340"/>
      <c r="B26" s="340"/>
      <c r="C26" s="340"/>
      <c r="D26" s="341"/>
      <c r="E26" s="342"/>
      <c r="J26" s="343"/>
      <c r="K26" s="343"/>
      <c r="L26" s="344"/>
      <c r="M26" s="343"/>
      <c r="N26" s="343"/>
      <c r="O26" s="343"/>
      <c r="P26" s="343"/>
      <c r="Q26" s="343"/>
      <c r="R26" s="343"/>
      <c r="S26" s="343"/>
    </row>
    <row r="27" spans="1:19" ht="14.25" customHeight="1" x14ac:dyDescent="0.25">
      <c r="A27" s="340"/>
      <c r="B27" s="340"/>
      <c r="C27" s="340"/>
      <c r="D27" s="341"/>
      <c r="E27" s="342"/>
      <c r="J27" s="343"/>
      <c r="K27" s="343"/>
      <c r="L27" s="344"/>
      <c r="M27" s="343"/>
      <c r="N27" s="343"/>
      <c r="O27" s="343"/>
      <c r="P27" s="343"/>
      <c r="Q27" s="343"/>
      <c r="R27" s="343"/>
      <c r="S27" s="343"/>
    </row>
    <row r="28" spans="1:19" ht="14.25" customHeight="1" x14ac:dyDescent="0.25">
      <c r="A28" s="340"/>
      <c r="B28" s="340"/>
      <c r="C28" s="340"/>
      <c r="D28" s="341"/>
      <c r="E28" s="342"/>
      <c r="J28" s="343"/>
      <c r="K28" s="343"/>
      <c r="L28" s="344"/>
      <c r="M28" s="343"/>
      <c r="N28" s="343"/>
      <c r="O28" s="343"/>
      <c r="P28" s="343"/>
      <c r="Q28" s="343"/>
      <c r="R28" s="343"/>
      <c r="S28" s="343"/>
    </row>
    <row r="29" spans="1:19" ht="14.25" customHeight="1" x14ac:dyDescent="0.25">
      <c r="A29" s="340"/>
      <c r="B29" s="340"/>
      <c r="C29" s="340"/>
      <c r="D29" s="341"/>
      <c r="E29" s="342"/>
      <c r="J29" s="343"/>
      <c r="K29" s="343"/>
      <c r="L29" s="344"/>
      <c r="M29" s="343"/>
      <c r="N29" s="343"/>
      <c r="O29" s="343"/>
      <c r="P29" s="343"/>
      <c r="Q29" s="343"/>
      <c r="R29" s="343"/>
      <c r="S29" s="343"/>
    </row>
    <row r="30" spans="1:19" ht="14.25" customHeight="1" x14ac:dyDescent="0.25">
      <c r="A30" s="340"/>
      <c r="B30" s="340"/>
      <c r="C30" s="340"/>
      <c r="D30" s="341"/>
      <c r="E30" s="342"/>
      <c r="J30" s="343"/>
      <c r="K30" s="343"/>
      <c r="L30" s="344"/>
      <c r="M30" s="343"/>
      <c r="N30" s="343"/>
      <c r="O30" s="343"/>
      <c r="P30" s="343"/>
      <c r="Q30" s="343"/>
      <c r="R30" s="343"/>
      <c r="S30" s="343"/>
    </row>
    <row r="31" spans="1:19" ht="14.25" customHeight="1" x14ac:dyDescent="0.25">
      <c r="A31" s="340"/>
      <c r="B31" s="340"/>
      <c r="C31" s="340"/>
      <c r="D31" s="341"/>
      <c r="E31" s="342"/>
      <c r="J31" s="343"/>
      <c r="K31" s="343"/>
      <c r="L31" s="344"/>
      <c r="M31" s="343"/>
      <c r="N31" s="343"/>
      <c r="O31" s="343"/>
      <c r="P31" s="343"/>
      <c r="Q31" s="343"/>
      <c r="R31" s="343"/>
      <c r="S31" s="343"/>
    </row>
    <row r="32" spans="1:19" ht="14.25" customHeight="1" x14ac:dyDescent="0.25">
      <c r="A32" s="340"/>
      <c r="B32" s="340"/>
      <c r="C32" s="340"/>
      <c r="D32" s="341"/>
      <c r="E32" s="342"/>
      <c r="J32" s="343"/>
      <c r="K32" s="343"/>
      <c r="L32" s="344"/>
      <c r="M32" s="343"/>
      <c r="N32" s="343"/>
      <c r="O32" s="343"/>
      <c r="P32" s="343"/>
      <c r="Q32" s="343"/>
      <c r="R32" s="343"/>
      <c r="S32" s="343"/>
    </row>
    <row r="33" spans="1:19" ht="14.25" customHeight="1" x14ac:dyDescent="0.25">
      <c r="A33" s="340"/>
      <c r="B33" s="340"/>
      <c r="C33" s="340"/>
      <c r="D33" s="341"/>
      <c r="E33" s="342"/>
      <c r="J33" s="343"/>
      <c r="K33" s="343"/>
      <c r="L33" s="344"/>
      <c r="M33" s="343"/>
      <c r="N33" s="343"/>
      <c r="O33" s="343"/>
      <c r="P33" s="343"/>
      <c r="Q33" s="343"/>
      <c r="R33" s="343"/>
      <c r="S33" s="343"/>
    </row>
    <row r="34" spans="1:19" ht="14.25" customHeight="1" x14ac:dyDescent="0.25">
      <c r="A34" s="340"/>
      <c r="B34" s="340"/>
      <c r="C34" s="340"/>
      <c r="D34" s="341"/>
      <c r="E34" s="342"/>
      <c r="J34" s="343"/>
      <c r="K34" s="343"/>
      <c r="L34" s="344"/>
      <c r="M34" s="343"/>
      <c r="N34" s="343"/>
      <c r="O34" s="343"/>
      <c r="P34" s="343"/>
      <c r="Q34" s="343"/>
      <c r="R34" s="343"/>
      <c r="S34" s="343"/>
    </row>
    <row r="35" spans="1:19" ht="14.25" customHeight="1" x14ac:dyDescent="0.25">
      <c r="A35" s="340"/>
      <c r="B35" s="340"/>
      <c r="C35" s="340"/>
      <c r="D35" s="341"/>
      <c r="E35" s="342"/>
      <c r="J35" s="343"/>
      <c r="K35" s="343"/>
      <c r="L35" s="344"/>
      <c r="M35" s="343"/>
      <c r="N35" s="343"/>
      <c r="O35" s="343"/>
      <c r="P35" s="343"/>
      <c r="Q35" s="343"/>
      <c r="R35" s="343"/>
      <c r="S35" s="343"/>
    </row>
    <row r="36" spans="1:19" ht="14.25" customHeight="1" x14ac:dyDescent="0.25">
      <c r="A36" s="340"/>
      <c r="B36" s="340"/>
      <c r="C36" s="340"/>
      <c r="D36" s="341"/>
      <c r="E36" s="342"/>
      <c r="J36" s="343"/>
      <c r="K36" s="343"/>
      <c r="L36" s="344"/>
      <c r="M36" s="343"/>
      <c r="N36" s="343"/>
      <c r="O36" s="343"/>
      <c r="P36" s="343"/>
      <c r="Q36" s="343"/>
      <c r="R36" s="343"/>
      <c r="S36" s="343"/>
    </row>
    <row r="37" spans="1:19" ht="14.25" customHeight="1" x14ac:dyDescent="0.25">
      <c r="A37" s="340"/>
      <c r="B37" s="340"/>
      <c r="C37" s="340"/>
      <c r="D37" s="341"/>
      <c r="E37" s="342"/>
      <c r="J37" s="343"/>
      <c r="K37" s="343"/>
      <c r="L37" s="344"/>
      <c r="M37" s="343"/>
      <c r="N37" s="343"/>
      <c r="O37" s="343"/>
      <c r="P37" s="343"/>
      <c r="Q37" s="343"/>
      <c r="R37" s="343"/>
      <c r="S37" s="343"/>
    </row>
    <row r="38" spans="1:19" ht="14.25" customHeight="1" x14ac:dyDescent="0.25">
      <c r="A38" s="340"/>
      <c r="B38" s="340"/>
      <c r="C38" s="340"/>
      <c r="D38" s="341"/>
      <c r="E38" s="342"/>
      <c r="J38" s="343"/>
      <c r="K38" s="343"/>
      <c r="L38" s="344"/>
      <c r="M38" s="343"/>
      <c r="N38" s="343"/>
      <c r="O38" s="343"/>
      <c r="P38" s="343"/>
      <c r="Q38" s="343"/>
      <c r="R38" s="343"/>
      <c r="S38" s="343"/>
    </row>
    <row r="39" spans="1:19" ht="14.25" customHeight="1" x14ac:dyDescent="0.25">
      <c r="A39" s="340"/>
      <c r="B39" s="340"/>
      <c r="C39" s="340"/>
      <c r="D39" s="341"/>
      <c r="E39" s="342"/>
      <c r="J39" s="343"/>
      <c r="K39" s="343"/>
      <c r="L39" s="344"/>
      <c r="M39" s="343"/>
      <c r="N39" s="343"/>
      <c r="O39" s="343"/>
      <c r="P39" s="343"/>
      <c r="Q39" s="343"/>
      <c r="R39" s="343"/>
      <c r="S39" s="343"/>
    </row>
    <row r="40" spans="1:19" ht="14.25" customHeight="1" x14ac:dyDescent="0.25">
      <c r="A40" s="340"/>
      <c r="B40" s="340"/>
      <c r="C40" s="340"/>
      <c r="D40" s="341"/>
      <c r="E40" s="342"/>
      <c r="J40" s="343"/>
      <c r="K40" s="343"/>
      <c r="L40" s="344"/>
      <c r="M40" s="343"/>
      <c r="N40" s="343"/>
      <c r="O40" s="343"/>
      <c r="P40" s="343"/>
      <c r="Q40" s="343"/>
      <c r="R40" s="343"/>
      <c r="S40" s="343"/>
    </row>
    <row r="41" spans="1:19" ht="14.25" customHeight="1" x14ac:dyDescent="0.25">
      <c r="A41" s="340"/>
      <c r="B41" s="340"/>
      <c r="C41" s="340"/>
      <c r="D41" s="341"/>
      <c r="E41" s="342"/>
      <c r="J41" s="343"/>
      <c r="K41" s="343"/>
      <c r="L41" s="344"/>
      <c r="M41" s="343"/>
      <c r="N41" s="343"/>
      <c r="O41" s="343"/>
      <c r="P41" s="343"/>
      <c r="Q41" s="343"/>
      <c r="R41" s="343"/>
      <c r="S41" s="343"/>
    </row>
    <row r="42" spans="1:19" ht="14.25" customHeight="1" x14ac:dyDescent="0.25">
      <c r="A42" s="340"/>
      <c r="B42" s="340"/>
      <c r="C42" s="340"/>
      <c r="D42" s="341"/>
      <c r="E42" s="342"/>
      <c r="J42" s="343"/>
      <c r="K42" s="343"/>
      <c r="L42" s="344"/>
      <c r="M42" s="343"/>
      <c r="N42" s="343"/>
      <c r="O42" s="343"/>
      <c r="P42" s="343"/>
      <c r="Q42" s="343"/>
      <c r="R42" s="343"/>
      <c r="S42" s="343"/>
    </row>
    <row r="43" spans="1:19" ht="14.25" customHeight="1" x14ac:dyDescent="0.25">
      <c r="A43" s="340"/>
      <c r="B43" s="340"/>
      <c r="C43" s="340"/>
      <c r="D43" s="341"/>
      <c r="E43" s="342"/>
      <c r="J43" s="343"/>
      <c r="K43" s="343"/>
      <c r="L43" s="344"/>
      <c r="M43" s="343"/>
      <c r="N43" s="343"/>
      <c r="O43" s="343"/>
      <c r="P43" s="343"/>
      <c r="Q43" s="343"/>
      <c r="R43" s="343"/>
      <c r="S43" s="343"/>
    </row>
    <row r="44" spans="1:19" ht="14.25" customHeight="1" x14ac:dyDescent="0.25">
      <c r="A44" s="340"/>
      <c r="B44" s="340"/>
      <c r="C44" s="340"/>
      <c r="D44" s="341"/>
      <c r="E44" s="342"/>
      <c r="J44" s="343"/>
      <c r="K44" s="343"/>
      <c r="L44" s="344"/>
      <c r="M44" s="343"/>
      <c r="N44" s="343"/>
      <c r="O44" s="343"/>
      <c r="P44" s="343"/>
      <c r="Q44" s="343"/>
      <c r="R44" s="343"/>
      <c r="S44" s="343"/>
    </row>
    <row r="45" spans="1:19" ht="14.25" customHeight="1" x14ac:dyDescent="0.25">
      <c r="A45" s="340"/>
      <c r="B45" s="340"/>
      <c r="C45" s="340"/>
      <c r="D45" s="341"/>
      <c r="E45" s="342"/>
      <c r="J45" s="343"/>
      <c r="K45" s="343"/>
      <c r="L45" s="344"/>
      <c r="M45" s="343"/>
      <c r="N45" s="343"/>
      <c r="O45" s="343"/>
      <c r="P45" s="343"/>
      <c r="Q45" s="343"/>
      <c r="R45" s="343"/>
      <c r="S45" s="343"/>
    </row>
    <row r="46" spans="1:19" ht="14.25" customHeight="1" x14ac:dyDescent="0.25">
      <c r="A46" s="340"/>
      <c r="B46" s="340"/>
      <c r="C46" s="340"/>
      <c r="D46" s="341"/>
      <c r="E46" s="342"/>
      <c r="J46" s="343"/>
      <c r="K46" s="343"/>
      <c r="L46" s="344"/>
      <c r="M46" s="343"/>
      <c r="N46" s="343"/>
      <c r="O46" s="343"/>
      <c r="P46" s="343"/>
      <c r="Q46" s="343"/>
      <c r="R46" s="343"/>
      <c r="S46" s="343"/>
    </row>
    <row r="47" spans="1:19" ht="14.25" customHeight="1" x14ac:dyDescent="0.25">
      <c r="A47" s="340"/>
      <c r="B47" s="340"/>
      <c r="C47" s="340"/>
      <c r="D47" s="341"/>
      <c r="E47" s="342"/>
      <c r="J47" s="343"/>
      <c r="K47" s="343"/>
      <c r="L47" s="344"/>
      <c r="M47" s="343"/>
      <c r="N47" s="343"/>
      <c r="O47" s="343"/>
      <c r="P47" s="343"/>
      <c r="Q47" s="343"/>
      <c r="R47" s="343"/>
      <c r="S47" s="343"/>
    </row>
    <row r="48" spans="1:19" ht="14.25" customHeight="1" x14ac:dyDescent="0.25">
      <c r="A48" s="340"/>
      <c r="B48" s="340"/>
      <c r="C48" s="340"/>
      <c r="D48" s="341"/>
      <c r="E48" s="342"/>
      <c r="J48" s="343"/>
      <c r="K48" s="343"/>
      <c r="L48" s="344"/>
      <c r="M48" s="343"/>
      <c r="N48" s="343"/>
      <c r="O48" s="343"/>
      <c r="P48" s="343"/>
      <c r="Q48" s="343"/>
      <c r="R48" s="343"/>
      <c r="S48" s="343"/>
    </row>
    <row r="49" spans="1:19" ht="14.25" customHeight="1" x14ac:dyDescent="0.25">
      <c r="A49" s="340"/>
      <c r="B49" s="340"/>
      <c r="C49" s="340"/>
      <c r="D49" s="341"/>
      <c r="E49" s="342"/>
      <c r="J49" s="343"/>
      <c r="K49" s="343"/>
      <c r="L49" s="344"/>
      <c r="M49" s="343"/>
      <c r="N49" s="343"/>
      <c r="O49" s="343"/>
      <c r="P49" s="343"/>
      <c r="Q49" s="343"/>
      <c r="R49" s="343"/>
      <c r="S49" s="343"/>
    </row>
    <row r="50" spans="1:19" ht="14.25" customHeight="1" x14ac:dyDescent="0.25">
      <c r="A50" s="340"/>
      <c r="B50" s="340"/>
      <c r="C50" s="340"/>
      <c r="D50" s="341"/>
      <c r="E50" s="342"/>
      <c r="J50" s="343"/>
      <c r="K50" s="343"/>
      <c r="L50" s="344"/>
      <c r="M50" s="343"/>
      <c r="N50" s="343"/>
      <c r="O50" s="343"/>
      <c r="P50" s="343"/>
      <c r="Q50" s="343"/>
      <c r="R50" s="343"/>
      <c r="S50" s="343"/>
    </row>
    <row r="51" spans="1:19" ht="14.25" customHeight="1" x14ac:dyDescent="0.25">
      <c r="A51" s="340"/>
      <c r="B51" s="340"/>
      <c r="C51" s="340"/>
      <c r="D51" s="341"/>
      <c r="E51" s="342"/>
      <c r="J51" s="343"/>
      <c r="K51" s="343"/>
      <c r="L51" s="344"/>
      <c r="M51" s="343"/>
      <c r="N51" s="343"/>
      <c r="O51" s="343"/>
      <c r="P51" s="343"/>
      <c r="Q51" s="343"/>
      <c r="R51" s="343"/>
      <c r="S51" s="343"/>
    </row>
    <row r="52" spans="1:19" ht="14.25" customHeight="1" x14ac:dyDescent="0.25">
      <c r="A52" s="340"/>
      <c r="B52" s="340"/>
      <c r="C52" s="340"/>
      <c r="D52" s="341"/>
      <c r="E52" s="342"/>
      <c r="J52" s="343"/>
      <c r="K52" s="343"/>
      <c r="L52" s="344"/>
      <c r="M52" s="343"/>
      <c r="N52" s="343"/>
      <c r="O52" s="343"/>
      <c r="P52" s="343"/>
      <c r="Q52" s="343"/>
      <c r="R52" s="343"/>
      <c r="S52" s="343"/>
    </row>
    <row r="53" spans="1:19" ht="14.25" customHeight="1" x14ac:dyDescent="0.25">
      <c r="A53" s="340"/>
      <c r="B53" s="340"/>
      <c r="C53" s="340"/>
      <c r="D53" s="341"/>
      <c r="E53" s="342"/>
      <c r="J53" s="343"/>
      <c r="K53" s="343"/>
      <c r="L53" s="344"/>
      <c r="M53" s="343"/>
      <c r="N53" s="343"/>
      <c r="O53" s="343"/>
      <c r="P53" s="343"/>
      <c r="Q53" s="343"/>
      <c r="R53" s="343"/>
      <c r="S53" s="343"/>
    </row>
    <row r="54" spans="1:19" ht="14.25" customHeight="1" x14ac:dyDescent="0.25">
      <c r="A54" s="340"/>
      <c r="B54" s="340"/>
      <c r="C54" s="340"/>
      <c r="D54" s="341"/>
      <c r="E54" s="342"/>
      <c r="J54" s="343"/>
      <c r="K54" s="343"/>
      <c r="L54" s="344"/>
      <c r="M54" s="343"/>
      <c r="N54" s="343"/>
      <c r="O54" s="343"/>
      <c r="P54" s="343"/>
      <c r="Q54" s="343"/>
      <c r="R54" s="343"/>
      <c r="S54" s="343"/>
    </row>
    <row r="55" spans="1:19" ht="14.25" customHeight="1" x14ac:dyDescent="0.25">
      <c r="A55" s="340"/>
      <c r="B55" s="340"/>
      <c r="C55" s="340"/>
      <c r="D55" s="341"/>
      <c r="E55" s="342"/>
      <c r="J55" s="343"/>
      <c r="K55" s="343"/>
      <c r="L55" s="344"/>
      <c r="M55" s="343"/>
      <c r="N55" s="343"/>
      <c r="O55" s="343"/>
      <c r="P55" s="343"/>
      <c r="Q55" s="343"/>
      <c r="R55" s="343"/>
      <c r="S55" s="343"/>
    </row>
    <row r="56" spans="1:19" ht="14.25" customHeight="1" x14ac:dyDescent="0.25">
      <c r="A56" s="340"/>
      <c r="B56" s="340"/>
      <c r="C56" s="340"/>
      <c r="D56" s="341"/>
      <c r="E56" s="342"/>
      <c r="J56" s="343"/>
      <c r="K56" s="343"/>
      <c r="L56" s="344"/>
      <c r="M56" s="343"/>
      <c r="N56" s="343"/>
      <c r="O56" s="343"/>
      <c r="P56" s="343"/>
      <c r="Q56" s="343"/>
      <c r="R56" s="343"/>
      <c r="S56" s="343"/>
    </row>
    <row r="57" spans="1:19" ht="14.25" customHeight="1" x14ac:dyDescent="0.25">
      <c r="A57" s="340"/>
      <c r="B57" s="340"/>
      <c r="C57" s="340"/>
      <c r="D57" s="341"/>
      <c r="E57" s="342"/>
      <c r="J57" s="343"/>
      <c r="K57" s="343"/>
      <c r="L57" s="344"/>
      <c r="M57" s="343"/>
      <c r="N57" s="343"/>
      <c r="O57" s="343"/>
      <c r="P57" s="343"/>
      <c r="Q57" s="343"/>
      <c r="R57" s="343"/>
      <c r="S57" s="343"/>
    </row>
    <row r="58" spans="1:19" ht="14.25" customHeight="1" x14ac:dyDescent="0.25">
      <c r="A58" s="340"/>
      <c r="B58" s="340"/>
      <c r="C58" s="340"/>
      <c r="D58" s="341"/>
      <c r="E58" s="342"/>
      <c r="J58" s="343"/>
      <c r="K58" s="343"/>
      <c r="L58" s="344"/>
      <c r="M58" s="343"/>
      <c r="N58" s="343"/>
      <c r="O58" s="343"/>
      <c r="P58" s="343"/>
      <c r="Q58" s="343"/>
      <c r="R58" s="343"/>
      <c r="S58" s="343"/>
    </row>
    <row r="59" spans="1:19" ht="14.25" customHeight="1" x14ac:dyDescent="0.25">
      <c r="A59" s="340"/>
      <c r="B59" s="340"/>
      <c r="C59" s="340"/>
      <c r="D59" s="341"/>
      <c r="E59" s="342"/>
      <c r="J59" s="343"/>
      <c r="K59" s="343"/>
      <c r="L59" s="344"/>
      <c r="M59" s="343"/>
      <c r="N59" s="343"/>
      <c r="O59" s="343"/>
      <c r="P59" s="343"/>
      <c r="Q59" s="343"/>
      <c r="R59" s="343"/>
      <c r="S59" s="343"/>
    </row>
    <row r="60" spans="1:19" ht="14.25" customHeight="1" x14ac:dyDescent="0.25">
      <c r="A60" s="340"/>
      <c r="B60" s="340"/>
      <c r="C60" s="340"/>
      <c r="D60" s="341"/>
      <c r="E60" s="342"/>
      <c r="J60" s="343"/>
      <c r="K60" s="343"/>
      <c r="L60" s="344"/>
      <c r="M60" s="343"/>
      <c r="N60" s="343"/>
      <c r="O60" s="343"/>
      <c r="P60" s="343"/>
      <c r="Q60" s="343"/>
      <c r="R60" s="343"/>
      <c r="S60" s="343"/>
    </row>
    <row r="61" spans="1:19" ht="14.25" customHeight="1" x14ac:dyDescent="0.25">
      <c r="A61" s="340"/>
      <c r="B61" s="340"/>
      <c r="C61" s="340"/>
      <c r="D61" s="341"/>
      <c r="E61" s="342"/>
      <c r="J61" s="343"/>
      <c r="K61" s="343"/>
      <c r="L61" s="344"/>
      <c r="M61" s="343"/>
      <c r="N61" s="343"/>
      <c r="O61" s="343"/>
      <c r="P61" s="343"/>
      <c r="Q61" s="343"/>
      <c r="R61" s="343"/>
      <c r="S61" s="343"/>
    </row>
    <row r="62" spans="1:19" ht="14.25" customHeight="1" x14ac:dyDescent="0.25">
      <c r="A62" s="340"/>
      <c r="B62" s="340"/>
      <c r="C62" s="340"/>
      <c r="D62" s="341"/>
      <c r="E62" s="342"/>
      <c r="J62" s="343"/>
      <c r="K62" s="343"/>
      <c r="L62" s="344"/>
      <c r="M62" s="343"/>
      <c r="N62" s="343"/>
      <c r="O62" s="343"/>
      <c r="P62" s="343"/>
      <c r="Q62" s="343"/>
      <c r="R62" s="343"/>
      <c r="S62" s="343"/>
    </row>
    <row r="63" spans="1:19" ht="14.25" customHeight="1" x14ac:dyDescent="0.25">
      <c r="A63" s="340"/>
      <c r="B63" s="340"/>
      <c r="C63" s="340"/>
      <c r="D63" s="341"/>
      <c r="E63" s="342"/>
      <c r="J63" s="343"/>
      <c r="K63" s="343"/>
      <c r="L63" s="344"/>
      <c r="M63" s="343"/>
      <c r="N63" s="343"/>
      <c r="O63" s="343"/>
      <c r="P63" s="343"/>
      <c r="Q63" s="343"/>
      <c r="R63" s="343"/>
      <c r="S63" s="343"/>
    </row>
    <row r="64" spans="1:19" ht="14.25" customHeight="1" x14ac:dyDescent="0.25">
      <c r="A64" s="340"/>
      <c r="B64" s="340"/>
      <c r="C64" s="340"/>
      <c r="D64" s="341"/>
      <c r="E64" s="342"/>
      <c r="J64" s="343"/>
      <c r="K64" s="343"/>
      <c r="L64" s="344"/>
      <c r="M64" s="343"/>
      <c r="N64" s="343"/>
      <c r="O64" s="343"/>
      <c r="P64" s="343"/>
      <c r="Q64" s="343"/>
      <c r="R64" s="343"/>
      <c r="S64" s="343"/>
    </row>
    <row r="65" spans="1:19" ht="14.25" customHeight="1" x14ac:dyDescent="0.25">
      <c r="A65" s="340"/>
      <c r="B65" s="340"/>
      <c r="C65" s="340"/>
      <c r="D65" s="341"/>
      <c r="E65" s="342"/>
      <c r="J65" s="343"/>
      <c r="K65" s="343"/>
      <c r="L65" s="344"/>
      <c r="M65" s="343"/>
      <c r="N65" s="343"/>
      <c r="O65" s="343"/>
      <c r="P65" s="343"/>
      <c r="Q65" s="343"/>
      <c r="R65" s="343"/>
      <c r="S65" s="343"/>
    </row>
    <row r="66" spans="1:19" ht="14.25" customHeight="1" x14ac:dyDescent="0.25">
      <c r="A66" s="340"/>
      <c r="B66" s="340"/>
      <c r="C66" s="340"/>
      <c r="D66" s="341"/>
      <c r="E66" s="342"/>
      <c r="J66" s="343"/>
      <c r="K66" s="343"/>
      <c r="L66" s="344"/>
      <c r="M66" s="343"/>
      <c r="N66" s="343"/>
      <c r="O66" s="343"/>
      <c r="P66" s="343"/>
      <c r="Q66" s="343"/>
      <c r="R66" s="343"/>
      <c r="S66" s="343"/>
    </row>
    <row r="67" spans="1:19" ht="14.25" customHeight="1" x14ac:dyDescent="0.25">
      <c r="A67" s="340"/>
      <c r="B67" s="340"/>
      <c r="C67" s="340"/>
      <c r="D67" s="341"/>
      <c r="E67" s="342"/>
      <c r="J67" s="343"/>
      <c r="K67" s="343"/>
      <c r="L67" s="344"/>
      <c r="M67" s="343"/>
      <c r="N67" s="343"/>
      <c r="O67" s="343"/>
      <c r="P67" s="343"/>
      <c r="Q67" s="343"/>
      <c r="R67" s="343"/>
      <c r="S67" s="343"/>
    </row>
    <row r="68" spans="1:19" ht="14.25" customHeight="1" x14ac:dyDescent="0.25">
      <c r="A68" s="340"/>
      <c r="B68" s="340"/>
      <c r="C68" s="340"/>
      <c r="D68" s="341"/>
      <c r="E68" s="342"/>
      <c r="J68" s="343"/>
      <c r="K68" s="343"/>
      <c r="L68" s="344"/>
      <c r="M68" s="343"/>
      <c r="N68" s="343"/>
      <c r="O68" s="343"/>
      <c r="P68" s="343"/>
      <c r="Q68" s="343"/>
      <c r="R68" s="343"/>
      <c r="S68" s="343"/>
    </row>
    <row r="69" spans="1:19" ht="14.25" customHeight="1" x14ac:dyDescent="0.25">
      <c r="A69" s="340"/>
      <c r="B69" s="340"/>
      <c r="C69" s="340"/>
      <c r="D69" s="341"/>
      <c r="E69" s="342"/>
      <c r="J69" s="343"/>
      <c r="K69" s="343"/>
      <c r="L69" s="344"/>
      <c r="M69" s="343"/>
      <c r="N69" s="343"/>
      <c r="O69" s="343"/>
      <c r="P69" s="343"/>
      <c r="Q69" s="343"/>
      <c r="R69" s="343"/>
      <c r="S69" s="343"/>
    </row>
    <row r="70" spans="1:19" ht="14.25" customHeight="1" x14ac:dyDescent="0.25">
      <c r="A70" s="340"/>
      <c r="B70" s="340"/>
      <c r="C70" s="340"/>
      <c r="D70" s="341"/>
      <c r="E70" s="342"/>
      <c r="J70" s="343"/>
      <c r="K70" s="343"/>
      <c r="L70" s="344"/>
      <c r="M70" s="343"/>
      <c r="N70" s="343"/>
      <c r="O70" s="343"/>
      <c r="P70" s="343"/>
      <c r="Q70" s="343"/>
      <c r="R70" s="343"/>
      <c r="S70" s="343"/>
    </row>
    <row r="71" spans="1:19" ht="14.25" customHeight="1" x14ac:dyDescent="0.25">
      <c r="A71" s="340"/>
      <c r="B71" s="340"/>
      <c r="C71" s="340"/>
      <c r="D71" s="341"/>
      <c r="E71" s="342"/>
      <c r="J71" s="343"/>
      <c r="K71" s="343"/>
      <c r="L71" s="344"/>
      <c r="M71" s="343"/>
      <c r="N71" s="343"/>
      <c r="O71" s="343"/>
      <c r="P71" s="343"/>
      <c r="Q71" s="343"/>
      <c r="R71" s="343"/>
      <c r="S71" s="343"/>
    </row>
    <row r="72" spans="1:19" ht="14.25" customHeight="1" x14ac:dyDescent="0.25">
      <c r="A72" s="340"/>
      <c r="B72" s="340"/>
      <c r="C72" s="340"/>
      <c r="D72" s="341"/>
      <c r="E72" s="342"/>
      <c r="J72" s="343"/>
      <c r="K72" s="343"/>
      <c r="L72" s="344"/>
      <c r="M72" s="343"/>
      <c r="N72" s="343"/>
      <c r="O72" s="343"/>
      <c r="P72" s="343"/>
      <c r="Q72" s="343"/>
      <c r="R72" s="343"/>
      <c r="S72" s="343"/>
    </row>
    <row r="73" spans="1:19" ht="14.25" customHeight="1" x14ac:dyDescent="0.25">
      <c r="A73" s="340"/>
      <c r="B73" s="340"/>
      <c r="C73" s="340"/>
      <c r="D73" s="341"/>
      <c r="E73" s="342"/>
      <c r="J73" s="343"/>
      <c r="K73" s="343"/>
      <c r="L73" s="344"/>
      <c r="M73" s="343"/>
      <c r="N73" s="343"/>
      <c r="O73" s="343"/>
      <c r="P73" s="343"/>
      <c r="Q73" s="343"/>
      <c r="R73" s="343"/>
      <c r="S73" s="343"/>
    </row>
    <row r="74" spans="1:19" ht="14.25" customHeight="1" x14ac:dyDescent="0.25">
      <c r="A74" s="340"/>
      <c r="B74" s="340"/>
      <c r="C74" s="340"/>
      <c r="D74" s="341"/>
      <c r="E74" s="342"/>
      <c r="J74" s="343"/>
      <c r="K74" s="343"/>
      <c r="L74" s="344"/>
      <c r="M74" s="343"/>
      <c r="N74" s="343"/>
      <c r="O74" s="343"/>
      <c r="P74" s="343"/>
      <c r="Q74" s="343"/>
      <c r="R74" s="343"/>
      <c r="S74" s="343"/>
    </row>
    <row r="75" spans="1:19" ht="14.25" customHeight="1" x14ac:dyDescent="0.25">
      <c r="A75" s="340"/>
      <c r="B75" s="340"/>
      <c r="C75" s="340"/>
      <c r="D75" s="341"/>
      <c r="E75" s="342"/>
      <c r="J75" s="343"/>
      <c r="K75" s="343"/>
      <c r="L75" s="344"/>
      <c r="M75" s="343"/>
      <c r="N75" s="343"/>
      <c r="O75" s="343"/>
      <c r="P75" s="343"/>
      <c r="Q75" s="343"/>
      <c r="R75" s="343"/>
      <c r="S75" s="343"/>
    </row>
    <row r="76" spans="1:19" ht="14.25" customHeight="1" x14ac:dyDescent="0.25">
      <c r="A76" s="340"/>
      <c r="B76" s="340"/>
      <c r="C76" s="340"/>
      <c r="D76" s="341"/>
      <c r="E76" s="342"/>
      <c r="J76" s="343"/>
      <c r="K76" s="343"/>
      <c r="L76" s="344"/>
      <c r="M76" s="343"/>
      <c r="N76" s="343"/>
      <c r="O76" s="343"/>
      <c r="P76" s="343"/>
      <c r="Q76" s="343"/>
      <c r="R76" s="343"/>
      <c r="S76" s="343"/>
    </row>
    <row r="77" spans="1:19" ht="14.25" customHeight="1" x14ac:dyDescent="0.25">
      <c r="A77" s="340"/>
      <c r="B77" s="340"/>
      <c r="C77" s="340"/>
      <c r="D77" s="341"/>
      <c r="E77" s="342"/>
      <c r="J77" s="343"/>
      <c r="K77" s="343"/>
      <c r="L77" s="344"/>
      <c r="M77" s="343"/>
      <c r="N77" s="343"/>
      <c r="O77" s="343"/>
      <c r="P77" s="343"/>
      <c r="Q77" s="343"/>
      <c r="R77" s="343"/>
      <c r="S77" s="343"/>
    </row>
    <row r="78" spans="1:19" ht="14.25" customHeight="1" x14ac:dyDescent="0.25">
      <c r="A78" s="340"/>
      <c r="B78" s="340"/>
      <c r="C78" s="340"/>
      <c r="D78" s="341"/>
      <c r="E78" s="342"/>
      <c r="J78" s="343"/>
      <c r="K78" s="343"/>
      <c r="L78" s="344"/>
      <c r="M78" s="343"/>
      <c r="N78" s="343"/>
      <c r="O78" s="343"/>
      <c r="P78" s="343"/>
      <c r="Q78" s="343"/>
      <c r="R78" s="343"/>
      <c r="S78" s="343"/>
    </row>
    <row r="79" spans="1:19" ht="14.25" customHeight="1" x14ac:dyDescent="0.25">
      <c r="A79" s="340"/>
      <c r="B79" s="340"/>
      <c r="C79" s="340"/>
      <c r="D79" s="341"/>
      <c r="E79" s="342"/>
      <c r="J79" s="343"/>
      <c r="K79" s="343"/>
      <c r="L79" s="344"/>
      <c r="M79" s="343"/>
      <c r="N79" s="343"/>
      <c r="O79" s="343"/>
      <c r="P79" s="343"/>
      <c r="Q79" s="343"/>
      <c r="R79" s="343"/>
      <c r="S79" s="343"/>
    </row>
    <row r="80" spans="1:19" ht="14.25" customHeight="1" x14ac:dyDescent="0.25">
      <c r="A80" s="340"/>
      <c r="B80" s="340"/>
      <c r="C80" s="340"/>
      <c r="D80" s="341"/>
      <c r="E80" s="342"/>
      <c r="J80" s="343"/>
      <c r="K80" s="343"/>
      <c r="L80" s="344"/>
      <c r="M80" s="343"/>
      <c r="N80" s="343"/>
      <c r="O80" s="343"/>
      <c r="P80" s="343"/>
      <c r="Q80" s="343"/>
      <c r="R80" s="343"/>
      <c r="S80" s="343"/>
    </row>
    <row r="81" spans="1:19" ht="14.25" customHeight="1" x14ac:dyDescent="0.25">
      <c r="A81" s="340"/>
      <c r="B81" s="340"/>
      <c r="C81" s="340"/>
      <c r="D81" s="341"/>
      <c r="E81" s="342"/>
      <c r="J81" s="343"/>
      <c r="K81" s="343"/>
      <c r="L81" s="344"/>
      <c r="M81" s="343"/>
      <c r="N81" s="343"/>
      <c r="O81" s="343"/>
      <c r="P81" s="343"/>
      <c r="Q81" s="343"/>
      <c r="R81" s="343"/>
      <c r="S81" s="343"/>
    </row>
    <row r="82" spans="1:19" ht="14.25" customHeight="1" x14ac:dyDescent="0.25">
      <c r="A82" s="340"/>
      <c r="B82" s="340"/>
      <c r="C82" s="340"/>
      <c r="D82" s="341"/>
      <c r="E82" s="342"/>
      <c r="J82" s="343"/>
      <c r="K82" s="343"/>
      <c r="L82" s="344"/>
      <c r="M82" s="343"/>
      <c r="N82" s="343"/>
      <c r="O82" s="343"/>
      <c r="P82" s="343"/>
      <c r="Q82" s="343"/>
      <c r="R82" s="343"/>
      <c r="S82" s="343"/>
    </row>
    <row r="83" spans="1:19" ht="14.25" customHeight="1" x14ac:dyDescent="0.25">
      <c r="A83" s="340"/>
      <c r="B83" s="340"/>
      <c r="C83" s="340"/>
      <c r="D83" s="341"/>
      <c r="E83" s="342"/>
      <c r="J83" s="343"/>
      <c r="K83" s="343"/>
      <c r="L83" s="344"/>
      <c r="M83" s="343"/>
      <c r="N83" s="343"/>
      <c r="O83" s="343"/>
      <c r="P83" s="343"/>
      <c r="Q83" s="343"/>
      <c r="R83" s="343"/>
      <c r="S83" s="343"/>
    </row>
    <row r="84" spans="1:19" ht="14.25" customHeight="1" x14ac:dyDescent="0.25">
      <c r="A84" s="340"/>
      <c r="B84" s="340"/>
      <c r="C84" s="340"/>
      <c r="D84" s="341"/>
      <c r="E84" s="342"/>
      <c r="J84" s="343"/>
      <c r="K84" s="343"/>
      <c r="L84" s="344"/>
      <c r="M84" s="343"/>
      <c r="N84" s="343"/>
      <c r="O84" s="343"/>
      <c r="P84" s="343"/>
      <c r="Q84" s="343"/>
      <c r="R84" s="343"/>
      <c r="S84" s="343"/>
    </row>
    <row r="85" spans="1:19" ht="14.25" customHeight="1" x14ac:dyDescent="0.25">
      <c r="A85" s="340"/>
      <c r="B85" s="340"/>
      <c r="C85" s="340"/>
      <c r="D85" s="341"/>
      <c r="E85" s="342"/>
      <c r="J85" s="343"/>
      <c r="K85" s="343"/>
      <c r="L85" s="344"/>
      <c r="M85" s="343"/>
      <c r="N85" s="343"/>
      <c r="O85" s="343"/>
      <c r="P85" s="343"/>
      <c r="Q85" s="343"/>
      <c r="R85" s="343"/>
      <c r="S85" s="343"/>
    </row>
    <row r="86" spans="1:19" ht="14.25" customHeight="1" x14ac:dyDescent="0.25">
      <c r="A86" s="340"/>
      <c r="B86" s="340"/>
      <c r="C86" s="340"/>
      <c r="D86" s="341"/>
      <c r="E86" s="342"/>
      <c r="J86" s="343"/>
      <c r="K86" s="343"/>
      <c r="L86" s="344"/>
      <c r="M86" s="343"/>
      <c r="N86" s="343"/>
      <c r="O86" s="343"/>
      <c r="P86" s="343"/>
      <c r="Q86" s="343"/>
      <c r="R86" s="343"/>
      <c r="S86" s="343"/>
    </row>
    <row r="87" spans="1:19" ht="14.25" customHeight="1" x14ac:dyDescent="0.25">
      <c r="A87" s="340"/>
      <c r="B87" s="340"/>
      <c r="C87" s="340"/>
      <c r="D87" s="341"/>
      <c r="E87" s="342"/>
      <c r="J87" s="343"/>
      <c r="K87" s="343"/>
      <c r="L87" s="344"/>
      <c r="M87" s="343"/>
      <c r="N87" s="343"/>
      <c r="O87" s="343"/>
      <c r="P87" s="343"/>
      <c r="Q87" s="343"/>
      <c r="R87" s="343"/>
      <c r="S87" s="343"/>
    </row>
    <row r="88" spans="1:19" ht="14.25" customHeight="1" x14ac:dyDescent="0.25">
      <c r="A88" s="340"/>
      <c r="B88" s="340"/>
      <c r="C88" s="340"/>
      <c r="D88" s="341"/>
      <c r="E88" s="342"/>
      <c r="J88" s="343"/>
      <c r="K88" s="343"/>
      <c r="L88" s="344"/>
      <c r="M88" s="343"/>
      <c r="N88" s="343"/>
      <c r="O88" s="343"/>
      <c r="P88" s="343"/>
      <c r="Q88" s="343"/>
      <c r="R88" s="343"/>
      <c r="S88" s="343"/>
    </row>
    <row r="89" spans="1:19" ht="14.25" customHeight="1" x14ac:dyDescent="0.25">
      <c r="A89" s="340"/>
      <c r="B89" s="340"/>
      <c r="C89" s="340"/>
      <c r="D89" s="341"/>
      <c r="E89" s="342"/>
      <c r="J89" s="343"/>
      <c r="K89" s="343"/>
      <c r="L89" s="344"/>
      <c r="M89" s="343"/>
      <c r="N89" s="343"/>
      <c r="O89" s="343"/>
      <c r="P89" s="343"/>
      <c r="Q89" s="343"/>
      <c r="R89" s="343"/>
      <c r="S89" s="343"/>
    </row>
    <row r="90" spans="1:19" ht="14.25" customHeight="1" x14ac:dyDescent="0.25">
      <c r="A90" s="340"/>
      <c r="B90" s="340"/>
      <c r="C90" s="340"/>
      <c r="D90" s="341"/>
      <c r="E90" s="342"/>
      <c r="J90" s="343"/>
      <c r="K90" s="343"/>
      <c r="L90" s="344"/>
      <c r="M90" s="343"/>
      <c r="N90" s="343"/>
      <c r="O90" s="343"/>
      <c r="P90" s="343"/>
      <c r="Q90" s="343"/>
      <c r="R90" s="343"/>
      <c r="S90" s="343"/>
    </row>
    <row r="91" spans="1:19" ht="14.25" customHeight="1" x14ac:dyDescent="0.25">
      <c r="A91" s="340"/>
      <c r="B91" s="340"/>
      <c r="C91" s="340"/>
      <c r="D91" s="341"/>
      <c r="E91" s="342"/>
      <c r="J91" s="343"/>
      <c r="K91" s="343"/>
      <c r="L91" s="344"/>
      <c r="M91" s="343"/>
      <c r="N91" s="343"/>
      <c r="O91" s="343"/>
      <c r="P91" s="343"/>
      <c r="Q91" s="343"/>
      <c r="R91" s="343"/>
      <c r="S91" s="343"/>
    </row>
    <row r="92" spans="1:19" ht="14.25" customHeight="1" x14ac:dyDescent="0.25">
      <c r="A92" s="340"/>
      <c r="B92" s="340"/>
      <c r="C92" s="340"/>
      <c r="D92" s="341"/>
      <c r="E92" s="342"/>
      <c r="J92" s="343"/>
      <c r="K92" s="343"/>
      <c r="L92" s="344"/>
      <c r="M92" s="343"/>
      <c r="N92" s="343"/>
      <c r="O92" s="343"/>
      <c r="P92" s="343"/>
      <c r="Q92" s="343"/>
      <c r="R92" s="343"/>
      <c r="S92" s="343"/>
    </row>
    <row r="93" spans="1:19" ht="14.25" customHeight="1" x14ac:dyDescent="0.25">
      <c r="A93" s="340"/>
      <c r="B93" s="340"/>
      <c r="C93" s="340"/>
      <c r="D93" s="341"/>
      <c r="E93" s="342"/>
      <c r="J93" s="343"/>
      <c r="K93" s="343"/>
      <c r="L93" s="344"/>
      <c r="M93" s="343"/>
      <c r="N93" s="343"/>
      <c r="O93" s="343"/>
      <c r="P93" s="343"/>
      <c r="Q93" s="343"/>
      <c r="R93" s="343"/>
      <c r="S93" s="343"/>
    </row>
    <row r="94" spans="1:19" ht="14.25" customHeight="1" x14ac:dyDescent="0.25">
      <c r="A94" s="340"/>
      <c r="B94" s="340"/>
      <c r="C94" s="340"/>
      <c r="D94" s="341"/>
      <c r="E94" s="342"/>
      <c r="J94" s="343"/>
      <c r="K94" s="343"/>
      <c r="L94" s="344"/>
      <c r="M94" s="343"/>
      <c r="N94" s="343"/>
      <c r="O94" s="343"/>
      <c r="P94" s="343"/>
      <c r="Q94" s="343"/>
      <c r="R94" s="343"/>
      <c r="S94" s="343"/>
    </row>
    <row r="95" spans="1:19" ht="14.25" customHeight="1" x14ac:dyDescent="0.25">
      <c r="A95" s="340"/>
      <c r="B95" s="340"/>
      <c r="C95" s="340"/>
      <c r="D95" s="341"/>
      <c r="E95" s="342"/>
      <c r="J95" s="343"/>
      <c r="K95" s="343"/>
      <c r="L95" s="344"/>
      <c r="M95" s="343"/>
      <c r="N95" s="343"/>
      <c r="O95" s="343"/>
      <c r="P95" s="343"/>
      <c r="Q95" s="343"/>
      <c r="R95" s="343"/>
      <c r="S95" s="343"/>
    </row>
    <row r="96" spans="1:19" ht="14.25" customHeight="1" x14ac:dyDescent="0.25">
      <c r="A96" s="340"/>
      <c r="B96" s="340"/>
      <c r="C96" s="340"/>
      <c r="D96" s="341"/>
      <c r="E96" s="342"/>
      <c r="J96" s="343"/>
      <c r="K96" s="343"/>
      <c r="L96" s="344"/>
      <c r="M96" s="343"/>
      <c r="N96" s="343"/>
      <c r="O96" s="343"/>
      <c r="P96" s="343"/>
      <c r="Q96" s="343"/>
      <c r="R96" s="343"/>
      <c r="S96" s="343"/>
    </row>
    <row r="97" spans="1:19" ht="14.25" customHeight="1" x14ac:dyDescent="0.25">
      <c r="A97" s="340"/>
      <c r="B97" s="340"/>
      <c r="C97" s="340"/>
      <c r="D97" s="341"/>
      <c r="E97" s="342"/>
      <c r="J97" s="343"/>
      <c r="K97" s="343"/>
      <c r="L97" s="344"/>
      <c r="M97" s="343"/>
      <c r="N97" s="343"/>
      <c r="O97" s="343"/>
      <c r="P97" s="343"/>
      <c r="Q97" s="343"/>
      <c r="R97" s="343"/>
      <c r="S97" s="343"/>
    </row>
    <row r="98" spans="1:19" ht="14.25" customHeight="1" x14ac:dyDescent="0.25">
      <c r="A98" s="340"/>
      <c r="B98" s="340"/>
      <c r="C98" s="340"/>
      <c r="D98" s="341"/>
      <c r="E98" s="342"/>
      <c r="J98" s="343"/>
      <c r="K98" s="343"/>
      <c r="L98" s="344"/>
      <c r="M98" s="343"/>
      <c r="N98" s="343"/>
      <c r="O98" s="343"/>
      <c r="P98" s="343"/>
      <c r="Q98" s="343"/>
      <c r="R98" s="343"/>
      <c r="S98" s="343"/>
    </row>
    <row r="99" spans="1:19" ht="14.25" customHeight="1" x14ac:dyDescent="0.25">
      <c r="A99" s="340"/>
      <c r="B99" s="340"/>
      <c r="C99" s="340"/>
      <c r="D99" s="341"/>
      <c r="E99" s="342"/>
      <c r="J99" s="343"/>
      <c r="K99" s="343"/>
      <c r="L99" s="344"/>
      <c r="M99" s="343"/>
      <c r="N99" s="343"/>
      <c r="O99" s="343"/>
      <c r="P99" s="343"/>
      <c r="Q99" s="343"/>
      <c r="R99" s="343"/>
      <c r="S99" s="343"/>
    </row>
    <row r="100" spans="1:19" ht="14.25" customHeight="1" x14ac:dyDescent="0.25">
      <c r="A100" s="340"/>
      <c r="B100" s="340"/>
      <c r="C100" s="340"/>
      <c r="D100" s="341"/>
      <c r="E100" s="342"/>
      <c r="J100" s="343"/>
      <c r="K100" s="343"/>
      <c r="L100" s="344"/>
      <c r="M100" s="343"/>
      <c r="N100" s="343"/>
      <c r="O100" s="343"/>
      <c r="P100" s="343"/>
      <c r="Q100" s="343"/>
      <c r="R100" s="343"/>
      <c r="S100" s="343"/>
    </row>
  </sheetData>
  <pageMargins left="0.7" right="0.7" top="0.75" bottom="0.75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0"/>
  <sheetViews>
    <sheetView zoomScale="85" zoomScaleNormal="85" workbookViewId="0">
      <selection activeCell="G18" sqref="G18"/>
    </sheetView>
  </sheetViews>
  <sheetFormatPr defaultColWidth="14.42578125" defaultRowHeight="15" customHeight="1" x14ac:dyDescent="0.25"/>
  <cols>
    <col min="1" max="1" width="14.42578125" customWidth="1"/>
    <col min="2" max="2" width="13" customWidth="1"/>
    <col min="3" max="3" width="11.5703125" customWidth="1"/>
    <col min="4" max="4" width="12.28515625" customWidth="1"/>
    <col min="5" max="5" width="8.7109375" customWidth="1"/>
    <col min="6" max="6" width="18.85546875" customWidth="1"/>
    <col min="7" max="7" width="19.28515625" customWidth="1"/>
    <col min="8" max="8" width="15.42578125" customWidth="1"/>
    <col min="9" max="9" width="13" customWidth="1"/>
    <col min="10" max="10" width="13" style="381" customWidth="1"/>
    <col min="11" max="11" width="15.42578125" customWidth="1"/>
    <col min="12" max="12" width="28.28515625" customWidth="1"/>
  </cols>
  <sheetData>
    <row r="1" spans="1:12" ht="14.25" customHeight="1" x14ac:dyDescent="0.25">
      <c r="A1" s="93" t="s">
        <v>208</v>
      </c>
    </row>
    <row r="2" spans="1:12" ht="14.25" customHeight="1" x14ac:dyDescent="0.25">
      <c r="A2" s="367" t="s">
        <v>209</v>
      </c>
      <c r="B2" s="69">
        <v>45261</v>
      </c>
      <c r="C2" s="367" t="s">
        <v>210</v>
      </c>
      <c r="D2" s="69">
        <v>45323</v>
      </c>
      <c r="F2" s="367" t="s">
        <v>211</v>
      </c>
      <c r="G2" s="372"/>
      <c r="I2" s="367" t="s">
        <v>26</v>
      </c>
      <c r="J2" s="382"/>
    </row>
    <row r="3" spans="1:12" ht="14.25" customHeight="1" x14ac:dyDescent="0.25">
      <c r="K3" t="s">
        <v>90</v>
      </c>
    </row>
    <row r="4" spans="1:12" ht="37.5" customHeight="1" x14ac:dyDescent="0.25">
      <c r="A4" s="6" t="s">
        <v>17</v>
      </c>
      <c r="B4" s="6" t="s">
        <v>18</v>
      </c>
      <c r="C4" s="6" t="s">
        <v>2</v>
      </c>
      <c r="D4" s="6" t="s">
        <v>3</v>
      </c>
      <c r="E4" s="6" t="s">
        <v>4</v>
      </c>
      <c r="F4" s="6" t="s">
        <v>5</v>
      </c>
      <c r="G4" s="6" t="s">
        <v>6</v>
      </c>
      <c r="H4" s="6" t="s">
        <v>24</v>
      </c>
      <c r="I4" s="6" t="s">
        <v>212</v>
      </c>
      <c r="J4" s="383" t="s">
        <v>213</v>
      </c>
      <c r="K4" s="6" t="s">
        <v>214</v>
      </c>
      <c r="L4" s="7" t="s">
        <v>26</v>
      </c>
    </row>
    <row r="5" spans="1:12" ht="14.25" customHeight="1" x14ac:dyDescent="0.25">
      <c r="A5" s="368">
        <v>21122023</v>
      </c>
      <c r="B5" s="373">
        <v>45281</v>
      </c>
      <c r="C5" s="373">
        <v>45294</v>
      </c>
      <c r="D5" s="368" t="s">
        <v>35</v>
      </c>
      <c r="E5" s="368" t="s">
        <v>36</v>
      </c>
      <c r="F5" s="368" t="s">
        <v>37</v>
      </c>
      <c r="G5" s="368">
        <v>40169320</v>
      </c>
      <c r="H5" s="373">
        <v>45300</v>
      </c>
      <c r="I5" s="373">
        <v>45301</v>
      </c>
      <c r="J5" s="384">
        <v>-1</v>
      </c>
      <c r="K5" s="379">
        <v>3726668</v>
      </c>
      <c r="L5" s="373" t="s">
        <v>46</v>
      </c>
    </row>
    <row r="6" spans="1:12" ht="14.25" customHeight="1" x14ac:dyDescent="0.25">
      <c r="A6" s="368">
        <v>21122023</v>
      </c>
      <c r="B6" s="373">
        <v>45281</v>
      </c>
      <c r="C6" s="373">
        <v>45294</v>
      </c>
      <c r="D6" s="368" t="s">
        <v>35</v>
      </c>
      <c r="E6" s="368" t="s">
        <v>36</v>
      </c>
      <c r="F6" s="368" t="s">
        <v>47</v>
      </c>
      <c r="G6" s="368">
        <v>40169320</v>
      </c>
      <c r="H6" s="373">
        <v>45300</v>
      </c>
      <c r="I6" s="373">
        <v>45302</v>
      </c>
      <c r="J6" s="384">
        <v>-2</v>
      </c>
      <c r="K6" s="379">
        <v>0</v>
      </c>
      <c r="L6" s="373" t="s">
        <v>46</v>
      </c>
    </row>
    <row r="7" spans="1:12" ht="14.25" customHeight="1" x14ac:dyDescent="0.25">
      <c r="A7" s="368">
        <v>21122023</v>
      </c>
      <c r="B7" s="373">
        <v>45281</v>
      </c>
      <c r="C7" s="373">
        <v>45294</v>
      </c>
      <c r="D7" s="368" t="s">
        <v>229</v>
      </c>
      <c r="E7" s="368" t="s">
        <v>36</v>
      </c>
      <c r="F7" s="368" t="s">
        <v>48</v>
      </c>
      <c r="G7" s="368">
        <v>40169320</v>
      </c>
      <c r="H7" s="373">
        <v>45300</v>
      </c>
      <c r="I7" s="373">
        <v>45303</v>
      </c>
      <c r="J7" s="384">
        <v>-3</v>
      </c>
      <c r="K7" s="379">
        <v>0</v>
      </c>
      <c r="L7" s="373" t="s">
        <v>46</v>
      </c>
    </row>
    <row r="8" spans="1:12" ht="14.25" customHeight="1" x14ac:dyDescent="0.25">
      <c r="A8" s="368" t="s">
        <v>56</v>
      </c>
      <c r="B8" s="373">
        <v>45313</v>
      </c>
      <c r="C8" s="373">
        <v>45314</v>
      </c>
      <c r="D8" s="368" t="s">
        <v>49</v>
      </c>
      <c r="E8" s="368" t="s">
        <v>50</v>
      </c>
      <c r="F8" s="368" t="s">
        <v>51</v>
      </c>
      <c r="G8" s="368">
        <v>40169320</v>
      </c>
      <c r="H8" s="373">
        <v>45317</v>
      </c>
      <c r="I8" s="373">
        <v>45303</v>
      </c>
      <c r="J8" s="384">
        <v>14</v>
      </c>
      <c r="K8" s="379">
        <v>114415337</v>
      </c>
      <c r="L8" s="373" t="s">
        <v>59</v>
      </c>
    </row>
    <row r="9" spans="1:12" ht="14.25" customHeight="1" x14ac:dyDescent="0.25">
      <c r="A9" s="368"/>
      <c r="B9" s="368"/>
      <c r="C9" s="368"/>
      <c r="D9" s="368"/>
      <c r="E9" s="368"/>
      <c r="F9" s="368"/>
      <c r="G9" s="368"/>
      <c r="H9" s="368"/>
      <c r="I9" s="368"/>
      <c r="J9" s="384"/>
      <c r="K9" s="380">
        <f>SUM(K5:K8)</f>
        <v>118142005</v>
      </c>
      <c r="L9" s="368"/>
    </row>
    <row r="10" spans="1:12" ht="14.25" customHeight="1" x14ac:dyDescent="0.25">
      <c r="A10" s="368"/>
      <c r="B10" s="368"/>
      <c r="C10" s="368"/>
      <c r="D10" s="368"/>
      <c r="E10" s="368"/>
      <c r="F10" s="368"/>
      <c r="G10" s="368"/>
      <c r="H10" s="368"/>
      <c r="I10" s="368"/>
      <c r="J10" s="384"/>
      <c r="K10" s="368"/>
      <c r="L10" s="368"/>
    </row>
    <row r="11" spans="1:12" ht="14.25" customHeight="1" x14ac:dyDescent="0.25">
      <c r="A11" s="368"/>
      <c r="B11" s="368"/>
      <c r="C11" s="368"/>
      <c r="D11" s="368"/>
      <c r="E11" s="368"/>
      <c r="F11" s="368"/>
      <c r="G11" s="368"/>
      <c r="H11" s="368"/>
      <c r="I11" s="368"/>
      <c r="J11" s="384"/>
      <c r="K11" s="368"/>
      <c r="L11" s="368"/>
    </row>
    <row r="12" spans="1:12" ht="14.25" customHeight="1" x14ac:dyDescent="0.25">
      <c r="A12" s="368"/>
      <c r="B12" s="368"/>
      <c r="C12" s="368"/>
      <c r="D12" s="368"/>
      <c r="E12" s="368"/>
      <c r="F12" s="368"/>
      <c r="G12" s="368"/>
      <c r="H12" s="368"/>
      <c r="I12" s="368"/>
      <c r="J12" s="384"/>
      <c r="K12" s="368"/>
      <c r="L12" s="368"/>
    </row>
    <row r="13" spans="1:12" ht="14.25" customHeight="1" x14ac:dyDescent="0.25">
      <c r="A13" s="368"/>
      <c r="B13" s="368"/>
      <c r="C13" s="368"/>
      <c r="D13" s="368"/>
      <c r="E13" s="368"/>
      <c r="F13" s="368"/>
      <c r="G13" s="368"/>
      <c r="H13" s="368"/>
      <c r="I13" s="368"/>
      <c r="J13" s="384"/>
      <c r="K13" s="368"/>
      <c r="L13" s="368"/>
    </row>
    <row r="14" spans="1:12" ht="14.25" customHeight="1" x14ac:dyDescent="0.25">
      <c r="A14" s="368"/>
      <c r="B14" s="368"/>
      <c r="C14" s="368"/>
      <c r="D14" s="368"/>
      <c r="E14" s="368"/>
      <c r="F14" s="368"/>
      <c r="G14" s="368"/>
      <c r="H14" s="368"/>
      <c r="I14" s="368"/>
      <c r="J14" s="384"/>
      <c r="K14" s="368"/>
      <c r="L14" s="368"/>
    </row>
    <row r="15" spans="1:12" ht="14.25" customHeight="1" x14ac:dyDescent="0.25">
      <c r="A15" s="368"/>
      <c r="B15" s="368"/>
      <c r="C15" s="368"/>
      <c r="D15" s="368"/>
      <c r="E15" s="368"/>
      <c r="F15" s="368"/>
      <c r="G15" s="368"/>
      <c r="H15" s="368"/>
      <c r="I15" s="368"/>
      <c r="J15" s="384"/>
      <c r="K15" s="368"/>
      <c r="L15" s="368"/>
    </row>
    <row r="16" spans="1:12" ht="14.25" customHeight="1" x14ac:dyDescent="0.25">
      <c r="A16" s="368"/>
      <c r="B16" s="368"/>
      <c r="C16" s="368"/>
      <c r="D16" s="368"/>
      <c r="E16" s="368"/>
      <c r="F16" s="368"/>
      <c r="G16" s="368"/>
      <c r="H16" s="368"/>
      <c r="I16" s="368"/>
      <c r="J16" s="384"/>
      <c r="K16" s="368"/>
      <c r="L16" s="368"/>
    </row>
    <row r="17" spans="1:12" ht="14.25" customHeight="1" x14ac:dyDescent="0.25">
      <c r="A17" s="368"/>
      <c r="B17" s="368"/>
      <c r="C17" s="368"/>
      <c r="D17" s="368"/>
      <c r="E17" s="368"/>
      <c r="F17" s="368"/>
      <c r="G17" s="368"/>
      <c r="H17" s="368"/>
      <c r="I17" s="368"/>
      <c r="J17" s="384"/>
      <c r="K17" s="373"/>
      <c r="L17" s="368"/>
    </row>
    <row r="18" spans="1:12" ht="14.25" customHeight="1" x14ac:dyDescent="0.25">
      <c r="K18" s="377"/>
    </row>
    <row r="19" spans="1:12" ht="14.25" customHeight="1" x14ac:dyDescent="0.25"/>
    <row r="20" spans="1:12" ht="14.25" customHeight="1" x14ac:dyDescent="0.25"/>
    <row r="21" spans="1:12" ht="14.25" customHeight="1" x14ac:dyDescent="0.25"/>
    <row r="22" spans="1:12" ht="50.1" customHeight="1" x14ac:dyDescent="0.25">
      <c r="A22" s="6" t="s">
        <v>1</v>
      </c>
      <c r="B22" t="s">
        <v>218</v>
      </c>
    </row>
    <row r="23" spans="1:12" ht="50.1" customHeight="1" x14ac:dyDescent="0.25">
      <c r="A23" s="6" t="s">
        <v>2</v>
      </c>
      <c r="B23" t="s">
        <v>219</v>
      </c>
    </row>
    <row r="24" spans="1:12" ht="50.1" customHeight="1" x14ac:dyDescent="0.25">
      <c r="A24" s="6" t="s">
        <v>3</v>
      </c>
      <c r="B24" t="s">
        <v>220</v>
      </c>
    </row>
    <row r="25" spans="1:12" ht="50.1" customHeight="1" x14ac:dyDescent="0.25">
      <c r="A25" s="6" t="s">
        <v>4</v>
      </c>
      <c r="B25" t="s">
        <v>221</v>
      </c>
    </row>
    <row r="26" spans="1:12" ht="50.1" customHeight="1" x14ac:dyDescent="0.25">
      <c r="A26" s="6" t="s">
        <v>5</v>
      </c>
      <c r="B26" t="s">
        <v>222</v>
      </c>
    </row>
    <row r="27" spans="1:12" ht="50.1" customHeight="1" x14ac:dyDescent="0.25">
      <c r="A27" s="6" t="s">
        <v>6</v>
      </c>
      <c r="B27" s="372" t="s">
        <v>225</v>
      </c>
    </row>
    <row r="28" spans="1:12" ht="50.1" customHeight="1" x14ac:dyDescent="0.25">
      <c r="A28" s="6" t="s">
        <v>24</v>
      </c>
      <c r="B28" t="s">
        <v>226</v>
      </c>
    </row>
    <row r="29" spans="1:12" ht="50.1" customHeight="1" x14ac:dyDescent="0.25">
      <c r="A29" s="6" t="s">
        <v>212</v>
      </c>
      <c r="B29" t="s">
        <v>234</v>
      </c>
    </row>
    <row r="30" spans="1:12" ht="50.1" customHeight="1" x14ac:dyDescent="0.25">
      <c r="A30" s="6" t="s">
        <v>213</v>
      </c>
      <c r="B30" s="371" t="s">
        <v>224</v>
      </c>
    </row>
    <row r="31" spans="1:12" ht="50.1" customHeight="1" x14ac:dyDescent="0.25">
      <c r="A31" s="6" t="s">
        <v>214</v>
      </c>
      <c r="B31" s="372" t="s">
        <v>236</v>
      </c>
    </row>
    <row r="32" spans="1:12" ht="50.1" customHeight="1" x14ac:dyDescent="0.25">
      <c r="A32" s="6" t="s">
        <v>26</v>
      </c>
      <c r="B32" t="s">
        <v>223</v>
      </c>
    </row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</sheetData>
  <pageMargins left="0.7" right="0.7" top="0.75" bottom="0.75" header="0" footer="0"/>
  <pageSetup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32FA414-4704-40EF-9D54-5026DEDA230A}">
          <x14:formula1>
            <xm:f>'Customer list'!$A$1:$A$34</xm:f>
          </x14:formula1>
          <xm:sqref>G2</xm:sqref>
        </x14:dataValidation>
        <x14:dataValidation type="list" allowBlank="1" showInputMessage="1" showErrorMessage="1" xr:uid="{EAB3078A-2C4D-46A6-A1F3-59663249A3FE}">
          <x14:formula1>
            <xm:f>'Forwarder list'!$A$1:$A$31</xm:f>
          </x14:formula1>
          <xm:sqref>J2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100"/>
  <sheetViews>
    <sheetView tabSelected="1" workbookViewId="0">
      <selection activeCell="A6" sqref="A6:O7"/>
    </sheetView>
  </sheetViews>
  <sheetFormatPr defaultColWidth="14.42578125" defaultRowHeight="15" customHeight="1" x14ac:dyDescent="0.25"/>
  <cols>
    <col min="1" max="1" width="20.28515625" customWidth="1"/>
    <col min="2" max="2" width="15.7109375" customWidth="1"/>
    <col min="3" max="4" width="8.7109375" customWidth="1"/>
    <col min="5" max="5" width="14.42578125" customWidth="1"/>
    <col min="6" max="6" width="12.5703125" customWidth="1"/>
    <col min="7" max="7" width="8.7109375" customWidth="1"/>
    <col min="8" max="8" width="8.7109375" style="381" customWidth="1"/>
    <col min="9" max="9" width="14.85546875" customWidth="1"/>
    <col min="10" max="10" width="13.85546875" style="377" customWidth="1"/>
    <col min="11" max="11" width="10.7109375" customWidth="1"/>
    <col min="12" max="12" width="10.42578125" customWidth="1"/>
    <col min="13" max="13" width="11.42578125" customWidth="1"/>
    <col min="14" max="14" width="12.42578125" customWidth="1"/>
    <col min="15" max="15" width="12.140625" customWidth="1"/>
    <col min="16" max="16" width="12.5703125" customWidth="1"/>
  </cols>
  <sheetData>
    <row r="1" spans="1:17" ht="14.25" customHeight="1" x14ac:dyDescent="0.25">
      <c r="A1" s="93" t="s">
        <v>215</v>
      </c>
      <c r="C1" s="93"/>
    </row>
    <row r="2" spans="1:17" ht="14.25" customHeight="1" x14ac:dyDescent="0.25">
      <c r="B2" s="393"/>
      <c r="C2" s="93"/>
    </row>
    <row r="3" spans="1:17" ht="14.25" customHeight="1" x14ac:dyDescent="0.25">
      <c r="A3" s="367" t="s">
        <v>209</v>
      </c>
      <c r="B3" s="390"/>
      <c r="C3" s="367"/>
      <c r="D3" s="367" t="s">
        <v>210</v>
      </c>
      <c r="E3" s="377"/>
      <c r="G3" s="367" t="s">
        <v>95</v>
      </c>
      <c r="J3" s="390" t="s">
        <v>26</v>
      </c>
      <c r="K3" s="372" t="s">
        <v>150</v>
      </c>
    </row>
    <row r="4" spans="1:17" ht="14.25" customHeight="1" x14ac:dyDescent="0.25"/>
    <row r="5" spans="1:17" ht="50.25" customHeight="1" x14ac:dyDescent="0.25">
      <c r="A5" s="191" t="s">
        <v>17</v>
      </c>
      <c r="B5" s="191" t="s">
        <v>18</v>
      </c>
      <c r="C5" s="191" t="s">
        <v>95</v>
      </c>
      <c r="D5" s="191" t="s">
        <v>4</v>
      </c>
      <c r="E5" s="191" t="s">
        <v>6</v>
      </c>
      <c r="F5" s="191" t="s">
        <v>5</v>
      </c>
      <c r="G5" s="191" t="s">
        <v>10</v>
      </c>
      <c r="H5" s="385" t="s">
        <v>101</v>
      </c>
      <c r="I5" s="191" t="s">
        <v>20</v>
      </c>
      <c r="J5" s="391" t="s">
        <v>216</v>
      </c>
      <c r="K5" s="191" t="s">
        <v>217</v>
      </c>
      <c r="L5" s="191" t="s">
        <v>213</v>
      </c>
      <c r="M5" s="191" t="s">
        <v>26</v>
      </c>
      <c r="N5" s="369" t="s">
        <v>184</v>
      </c>
      <c r="O5" s="370" t="s">
        <v>185</v>
      </c>
    </row>
    <row r="6" spans="1:17" ht="14.25" customHeight="1" x14ac:dyDescent="0.25">
      <c r="A6" s="368" t="s">
        <v>146</v>
      </c>
      <c r="B6" s="373">
        <v>45309</v>
      </c>
      <c r="C6" s="368" t="s">
        <v>35</v>
      </c>
      <c r="D6" s="368" t="s">
        <v>36</v>
      </c>
      <c r="E6" s="368">
        <v>40059990</v>
      </c>
      <c r="F6" s="368" t="s">
        <v>141</v>
      </c>
      <c r="G6" s="368">
        <v>1000</v>
      </c>
      <c r="H6" s="384">
        <v>45369</v>
      </c>
      <c r="I6" s="368" t="s">
        <v>149</v>
      </c>
      <c r="J6" s="373">
        <v>45308</v>
      </c>
      <c r="K6" s="368"/>
      <c r="L6" s="368"/>
      <c r="M6" s="368" t="s">
        <v>150</v>
      </c>
      <c r="N6" s="368"/>
      <c r="O6" s="368"/>
      <c r="Q6" s="371" t="s">
        <v>237</v>
      </c>
    </row>
    <row r="7" spans="1:17" ht="14.25" customHeight="1" x14ac:dyDescent="0.25">
      <c r="A7" s="368" t="s">
        <v>153</v>
      </c>
      <c r="B7" s="373">
        <v>45314</v>
      </c>
      <c r="C7" s="368" t="s">
        <v>151</v>
      </c>
      <c r="D7" s="368" t="s">
        <v>50</v>
      </c>
      <c r="E7" s="368">
        <v>40059990</v>
      </c>
      <c r="F7" s="368" t="s">
        <v>152</v>
      </c>
      <c r="G7" s="368">
        <v>4000</v>
      </c>
      <c r="H7" s="384">
        <v>45374</v>
      </c>
      <c r="I7" s="368" t="s">
        <v>149</v>
      </c>
      <c r="J7" s="373">
        <v>45315</v>
      </c>
      <c r="K7" s="368"/>
      <c r="L7" s="368"/>
      <c r="M7" s="368" t="s">
        <v>150</v>
      </c>
      <c r="N7" s="368"/>
      <c r="O7" s="368"/>
      <c r="Q7" s="389" t="s">
        <v>238</v>
      </c>
    </row>
    <row r="8" spans="1:17" ht="14.25" customHeight="1" x14ac:dyDescent="0.25">
      <c r="A8" s="368"/>
      <c r="B8" s="368"/>
      <c r="C8" s="368"/>
      <c r="D8" s="368"/>
      <c r="E8" s="368"/>
      <c r="F8" s="368"/>
      <c r="G8" s="368"/>
      <c r="H8" s="384"/>
      <c r="I8" s="368"/>
      <c r="J8" s="373"/>
      <c r="K8" s="368"/>
      <c r="L8" s="368"/>
      <c r="M8" s="368"/>
      <c r="N8" s="368">
        <f>SUM(N6:N7)</f>
        <v>0</v>
      </c>
      <c r="O8" s="368">
        <f>SUM(O6:O7)</f>
        <v>0</v>
      </c>
      <c r="Q8" t="s">
        <v>239</v>
      </c>
    </row>
    <row r="9" spans="1:17" ht="14.25" customHeight="1" x14ac:dyDescent="0.25">
      <c r="A9" s="368"/>
      <c r="B9" s="368"/>
      <c r="C9" s="368"/>
      <c r="D9" s="368"/>
      <c r="E9" s="368"/>
      <c r="F9" s="368"/>
      <c r="G9" s="368"/>
      <c r="H9" s="384"/>
      <c r="I9" s="368"/>
      <c r="J9" s="373"/>
      <c r="K9" s="368"/>
      <c r="L9" s="368"/>
      <c r="M9" s="368"/>
      <c r="N9" s="368"/>
      <c r="O9" s="368"/>
      <c r="Q9" t="s">
        <v>240</v>
      </c>
    </row>
    <row r="10" spans="1:17" ht="14.25" customHeight="1" x14ac:dyDescent="0.25">
      <c r="A10" s="368"/>
      <c r="B10" s="368"/>
      <c r="C10" s="368"/>
      <c r="D10" s="368"/>
      <c r="E10" s="368"/>
      <c r="F10" s="368"/>
      <c r="G10" s="368"/>
      <c r="H10" s="384"/>
      <c r="I10" s="368"/>
      <c r="J10" s="373"/>
      <c r="K10" s="368"/>
      <c r="L10" s="368"/>
      <c r="M10" s="368"/>
      <c r="N10" s="368"/>
      <c r="O10" s="368"/>
      <c r="Q10" t="s">
        <v>241</v>
      </c>
    </row>
    <row r="11" spans="1:17" ht="14.25" customHeight="1" x14ac:dyDescent="0.25">
      <c r="A11" s="368"/>
      <c r="B11" s="368"/>
      <c r="C11" s="368"/>
      <c r="D11" s="368"/>
      <c r="E11" s="368"/>
      <c r="F11" s="368"/>
      <c r="G11" s="368"/>
      <c r="H11" s="384"/>
      <c r="I11" s="368"/>
      <c r="J11" s="373"/>
      <c r="K11" s="368"/>
      <c r="L11" s="368"/>
      <c r="M11" s="368"/>
      <c r="N11" s="368"/>
      <c r="O11" s="368"/>
      <c r="Q11" t="s">
        <v>242</v>
      </c>
    </row>
    <row r="12" spans="1:17" ht="14.25" customHeight="1" x14ac:dyDescent="0.25">
      <c r="A12" s="368"/>
      <c r="B12" s="368"/>
      <c r="C12" s="368"/>
      <c r="D12" s="368"/>
      <c r="E12" s="368"/>
      <c r="F12" s="368"/>
      <c r="G12" s="368"/>
      <c r="H12" s="384"/>
      <c r="I12" s="368"/>
      <c r="J12" s="373"/>
      <c r="K12" s="368"/>
      <c r="L12" s="368"/>
      <c r="M12" s="368"/>
      <c r="N12" s="368"/>
      <c r="O12" s="368"/>
      <c r="Q12" t="s">
        <v>243</v>
      </c>
    </row>
    <row r="13" spans="1:17" ht="14.25" customHeight="1" x14ac:dyDescent="0.25">
      <c r="A13" s="368"/>
      <c r="B13" s="368"/>
      <c r="C13" s="368"/>
      <c r="D13" s="368"/>
      <c r="E13" s="368"/>
      <c r="F13" s="368"/>
      <c r="G13" s="368"/>
      <c r="H13" s="384"/>
      <c r="I13" s="368"/>
      <c r="J13" s="373"/>
      <c r="K13" s="368"/>
      <c r="L13" s="368"/>
      <c r="M13" s="368"/>
      <c r="N13" s="368"/>
      <c r="O13" s="368"/>
      <c r="Q13" s="386" t="s">
        <v>244</v>
      </c>
    </row>
    <row r="14" spans="1:17" ht="14.25" customHeight="1" x14ac:dyDescent="0.25">
      <c r="A14" s="368"/>
      <c r="B14" s="368"/>
      <c r="C14" s="368"/>
      <c r="D14" s="368"/>
      <c r="E14" s="368"/>
      <c r="F14" s="368"/>
      <c r="G14" s="368"/>
      <c r="H14" s="384"/>
      <c r="I14" s="368"/>
      <c r="J14" s="373"/>
      <c r="K14" s="368"/>
      <c r="L14" s="368"/>
      <c r="M14" s="368"/>
      <c r="N14" s="368"/>
      <c r="O14" s="368"/>
      <c r="Q14" s="386" t="s">
        <v>245</v>
      </c>
    </row>
    <row r="15" spans="1:17" ht="14.25" customHeight="1" x14ac:dyDescent="0.25">
      <c r="A15" s="368"/>
      <c r="B15" s="368"/>
      <c r="C15" s="368"/>
      <c r="D15" s="368"/>
      <c r="E15" s="368"/>
      <c r="F15" s="368"/>
      <c r="G15" s="368"/>
      <c r="H15" s="384"/>
      <c r="I15" s="368"/>
      <c r="J15" s="373"/>
      <c r="K15" s="368"/>
      <c r="L15" s="368"/>
      <c r="M15" s="368"/>
      <c r="N15" s="368"/>
      <c r="O15" s="368"/>
      <c r="Q15" s="388" t="s">
        <v>250</v>
      </c>
    </row>
    <row r="16" spans="1:17" ht="14.25" customHeight="1" x14ac:dyDescent="0.25">
      <c r="A16" s="368"/>
      <c r="B16" s="368"/>
      <c r="C16" s="368"/>
      <c r="D16" s="368"/>
      <c r="E16" s="368"/>
      <c r="F16" s="368"/>
      <c r="G16" s="368"/>
      <c r="H16" s="384"/>
      <c r="I16" s="368"/>
      <c r="J16" s="373"/>
      <c r="K16" s="368"/>
      <c r="L16" s="368"/>
      <c r="M16" s="368"/>
      <c r="N16" s="368"/>
      <c r="O16" s="368"/>
      <c r="Q16" s="386" t="s">
        <v>246</v>
      </c>
    </row>
    <row r="17" spans="1:17" ht="14.25" customHeight="1" x14ac:dyDescent="0.25">
      <c r="A17" s="368"/>
      <c r="B17" s="368"/>
      <c r="C17" s="368"/>
      <c r="D17" s="368"/>
      <c r="E17" s="368"/>
      <c r="F17" s="368"/>
      <c r="G17" s="368"/>
      <c r="H17" s="384"/>
      <c r="I17" s="368"/>
      <c r="J17" s="373"/>
      <c r="K17" s="368"/>
      <c r="L17" s="368"/>
      <c r="M17" s="368"/>
      <c r="N17" s="368"/>
      <c r="O17" s="368"/>
      <c r="Q17" s="387" t="s">
        <v>247</v>
      </c>
    </row>
    <row r="18" spans="1:17" ht="14.25" customHeight="1" x14ac:dyDescent="0.25">
      <c r="A18" s="368"/>
      <c r="B18" s="368"/>
      <c r="C18" s="368"/>
      <c r="D18" s="368"/>
      <c r="E18" s="368"/>
      <c r="F18" s="368"/>
      <c r="G18" s="368"/>
      <c r="H18" s="384"/>
      <c r="I18" s="368"/>
      <c r="J18" s="373"/>
      <c r="K18" s="368"/>
      <c r="L18" s="368"/>
      <c r="M18" s="368"/>
      <c r="N18" s="368"/>
      <c r="O18" s="368"/>
      <c r="Q18" s="387" t="s">
        <v>248</v>
      </c>
    </row>
    <row r="19" spans="1:17" ht="14.25" customHeight="1" x14ac:dyDescent="0.25">
      <c r="Q19" s="386" t="s">
        <v>249</v>
      </c>
    </row>
    <row r="20" spans="1:17" ht="14.25" customHeight="1" x14ac:dyDescent="0.25">
      <c r="Q20" s="386" t="s">
        <v>251</v>
      </c>
    </row>
    <row r="21" spans="1:17" ht="14.25" customHeight="1" x14ac:dyDescent="0.25"/>
    <row r="22" spans="1:17" ht="14.25" customHeight="1" x14ac:dyDescent="0.25"/>
    <row r="23" spans="1:17" ht="14.25" customHeight="1" x14ac:dyDescent="0.25"/>
    <row r="24" spans="1:17" ht="14.25" customHeight="1" x14ac:dyDescent="0.25"/>
    <row r="25" spans="1:17" ht="14.25" customHeight="1" x14ac:dyDescent="0.25"/>
    <row r="26" spans="1:17" ht="14.25" customHeight="1" x14ac:dyDescent="0.25"/>
    <row r="27" spans="1:17" ht="14.25" customHeight="1" x14ac:dyDescent="0.25"/>
    <row r="28" spans="1:17" ht="14.25" customHeight="1" x14ac:dyDescent="0.25"/>
    <row r="29" spans="1:17" ht="14.25" customHeight="1" x14ac:dyDescent="0.25"/>
    <row r="30" spans="1:17" ht="14.25" customHeight="1" x14ac:dyDescent="0.25"/>
    <row r="31" spans="1:17" ht="14.25" customHeight="1" x14ac:dyDescent="0.25"/>
    <row r="32" spans="1:17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</sheetData>
  <dataConsolidate/>
  <pageMargins left="0.7" right="0.7" top="0.75" bottom="0.75" header="0" footer="0"/>
  <pageSetup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DD0A4D-3D09-4B25-91FA-5B3C56BDE13D}">
          <x14:formula1>
            <xm:f>'Forwarder list'!$A$1:$A$4</xm:f>
          </x14:formula1>
          <xm:sqref>K3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76A86-54D2-4F4F-8F0C-FC39048D06C1}">
  <sheetPr codeName="Sheet8"/>
  <dimension ref="A1:A5"/>
  <sheetViews>
    <sheetView workbookViewId="0">
      <selection activeCell="L39" sqref="L38:L39"/>
    </sheetView>
  </sheetViews>
  <sheetFormatPr defaultRowHeight="15" x14ac:dyDescent="0.25"/>
  <sheetData>
    <row r="1" spans="1:1" x14ac:dyDescent="0.25">
      <c r="A1" t="s">
        <v>227</v>
      </c>
    </row>
    <row r="2" spans="1:1" x14ac:dyDescent="0.25">
      <c r="A2" t="s">
        <v>49</v>
      </c>
    </row>
    <row r="3" spans="1:1" x14ac:dyDescent="0.25">
      <c r="A3" t="s">
        <v>228</v>
      </c>
    </row>
    <row r="4" spans="1:1" x14ac:dyDescent="0.25">
      <c r="A4" t="s">
        <v>229</v>
      </c>
    </row>
    <row r="5" spans="1:1" x14ac:dyDescent="0.25">
      <c r="A5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30C3D-02B3-4174-9235-4BF453EB7A92}">
  <sheetPr codeName="Sheet9"/>
  <dimension ref="A1:A11"/>
  <sheetViews>
    <sheetView workbookViewId="0">
      <selection activeCell="A11" sqref="A11"/>
    </sheetView>
  </sheetViews>
  <sheetFormatPr defaultRowHeight="15" x14ac:dyDescent="0.25"/>
  <sheetData>
    <row r="1" spans="1:1" x14ac:dyDescent="0.25">
      <c r="A1" s="30" t="s">
        <v>46</v>
      </c>
    </row>
    <row r="2" spans="1:1" x14ac:dyDescent="0.25">
      <c r="A2" s="30" t="s">
        <v>231</v>
      </c>
    </row>
    <row r="3" spans="1:1" x14ac:dyDescent="0.25">
      <c r="A3" s="30" t="s">
        <v>150</v>
      </c>
    </row>
    <row r="4" spans="1:1" x14ac:dyDescent="0.25">
      <c r="A4" s="30" t="s">
        <v>59</v>
      </c>
    </row>
    <row r="5" spans="1:1" x14ac:dyDescent="0.25">
      <c r="A5" s="30"/>
    </row>
    <row r="6" spans="1:1" x14ac:dyDescent="0.25">
      <c r="A6" s="30"/>
    </row>
    <row r="7" spans="1:1" x14ac:dyDescent="0.25">
      <c r="A7" s="30"/>
    </row>
    <row r="8" spans="1:1" x14ac:dyDescent="0.25">
      <c r="A8" s="30"/>
    </row>
    <row r="9" spans="1:1" x14ac:dyDescent="0.25">
      <c r="A9" s="30"/>
    </row>
    <row r="10" spans="1:1" x14ac:dyDescent="0.25">
      <c r="A10" s="30"/>
    </row>
    <row r="11" spans="1:1" x14ac:dyDescent="0.25">
      <c r="A11" s="3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FCF5C8B5CB9AA840B55A9F62D890DA55" ma:contentTypeVersion="17" ma:contentTypeDescription="새 문서를 만듭니다." ma:contentTypeScope="" ma:versionID="c2a2e46edc358dd27e611d2337628f56">
  <xsd:schema xmlns:xsd="http://www.w3.org/2001/XMLSchema" xmlns:xs="http://www.w3.org/2001/XMLSchema" xmlns:p="http://schemas.microsoft.com/office/2006/metadata/properties" xmlns:ns3="79749e5e-c19b-4f0a-94ea-3fd6b45de61c" xmlns:ns4="ba5886b2-be15-40ac-9512-8d8f11f54f58" targetNamespace="http://schemas.microsoft.com/office/2006/metadata/properties" ma:root="true" ma:fieldsID="3bc0f99cb4d37a4e806728efffb6681b" ns3:_="" ns4:_="">
    <xsd:import namespace="79749e5e-c19b-4f0a-94ea-3fd6b45de61c"/>
    <xsd:import namespace="ba5886b2-be15-40ac-9512-8d8f11f54f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749e5e-c19b-4f0a-94ea-3fd6b45de61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5886b2-be15-40ac-9512-8d8f11f54f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힌트 해시 공유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749e5e-c19b-4f0a-94ea-3fd6b45de61c" xsi:nil="true"/>
  </documentManagement>
</p:properties>
</file>

<file path=customXml/itemProps1.xml><?xml version="1.0" encoding="utf-8"?>
<ds:datastoreItem xmlns:ds="http://schemas.openxmlformats.org/officeDocument/2006/customXml" ds:itemID="{003844E6-D4D8-4375-89DE-A002C4CD49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749e5e-c19b-4f0a-94ea-3fd6b45de61c"/>
    <ds:schemaRef ds:uri="ba5886b2-be15-40ac-9512-8d8f11f54f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EAE0750-B617-4321-8076-F147896898D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C07579C-ED17-43D0-8518-C2F1B2F8C642}">
  <ds:schemaRefs>
    <ds:schemaRef ds:uri="http://schemas.microsoft.com/office/2006/documentManagement/types"/>
    <ds:schemaRef ds:uri="http://purl.org/dc/dcmitype/"/>
    <ds:schemaRef ds:uri="http://www.w3.org/XML/1998/namespace"/>
    <ds:schemaRef ds:uri="ba5886b2-be15-40ac-9512-8d8f11f54f58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http://purl.org/dc/terms/"/>
    <ds:schemaRef ds:uri="79749e5e-c19b-4f0a-94ea-3fd6b45de61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Export</vt:lpstr>
      <vt:lpstr>EXP Details</vt:lpstr>
      <vt:lpstr>IMPORT</vt:lpstr>
      <vt:lpstr>IMP_Details</vt:lpstr>
      <vt:lpstr>Follow up</vt:lpstr>
      <vt:lpstr>EXP - Report</vt:lpstr>
      <vt:lpstr>IMP - Report</vt:lpstr>
      <vt:lpstr>Customer list</vt:lpstr>
      <vt:lpstr>Forwarder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 Vi</dc:creator>
  <cp:lastModifiedBy>Ta Chi Nguyen</cp:lastModifiedBy>
  <cp:lastPrinted>2024-12-13T07:56:31Z</cp:lastPrinted>
  <dcterms:created xsi:type="dcterms:W3CDTF">2015-06-05T18:17:20Z</dcterms:created>
  <dcterms:modified xsi:type="dcterms:W3CDTF">2025-02-07T06:06:27Z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0x010100FCF5C8B5CB9AA840B55A9F62D890DA55</vt:lpwstr>
  </property>
  <property fmtid="{D5CDD505-2E9C-101B-9397-08002B2CF9AE}" pid="3" name="_dlc_DocIdItemGuid">
    <vt:lpwstr>d4536132-4e58-4bd2-bfd9-ec570d17f339</vt:lpwstr>
  </property>
  <property fmtid="{D5CDD505-2E9C-101B-9397-08002B2CF9AE}" pid="4" name="MediaServiceImageTags">
    <vt:lpwstr/>
  </property>
</Properties>
</file>