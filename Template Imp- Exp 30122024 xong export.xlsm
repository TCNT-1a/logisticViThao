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4C003AE1-B40D-40BA-8A04-4DDF504595A0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7" l="1"/>
  <c r="N8" i="7"/>
  <c r="K9" i="6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Q4" i="4" l="1"/>
  <c r="AH7" i="2"/>
  <c r="AU7" i="4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<sst xmlns="http://schemas.openxmlformats.org/spreadsheetml/2006/main" count="429" uniqueCount="252">
  <si>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</si>
  <si>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</si>
  <si>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</si>
  <si>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</si>
  <si>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</si>
  <si>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</si>
  <si>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</si>
  <si>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</si>
  <si>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</si>
  <si>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</si>
  <si>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</si>
  <si>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</si>
  <si>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</si>
  <si>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</si>
  <si>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</si>
  <si>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</si>
  <si>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</si>
  <si>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</si>
  <si>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</si>
  <si>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</si>
  <si>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</si>
  <si>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</si>
  <si>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</si>
  <si>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</si>
  <si>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</si>
  <si>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</si>
  <si>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</si>
  <si>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</si>
  <si>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</si>
  <si>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</si>
  <si>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</si>
  <si>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</si>
  <si>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</si>
  <si>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</si>
  <si>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</si>
  <si>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</si>
  <si>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</si>
  <si>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</si>
  <si>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</si>
  <si>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</si>
  <si>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</si>
  <si>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</si>
  <si>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</si>
  <si>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</si>
  <si>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</si>
  <si>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</si>
  <si>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</si>
  <si>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</si>
  <si>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</si>
  <si>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</si>
  <si>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</si>
  <si>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</si>
  <si>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</si>
  <si>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</si>
  <si>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</si>
  <si>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</si>
  <si>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</si>
  <si>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</si>
  <si>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</si>
  <si>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</si>
  <si>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</si>
  <si>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</si>
  <si>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</si>
  <si>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</si>
  <si>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</si>
  <si>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</si>
  <si>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</si>
  <si>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</si>
  <si>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</si>
  <si>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</si>
  <si>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</si>
  <si>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</si>
  <si>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</si>
  <si>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</si>
  <si>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</si>
  <si>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</si>
  <si>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</si>
  <si>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</si>
  <si>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</si>
  <si>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</si>
  <si>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</si>
  <si>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</si>
  <si>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</si>
  <si>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</si>
  <si>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</si>
  <si>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</si>
  <si>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</si>
  <si>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</si>
  <si>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</si>
  <si>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</si>
  <si>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</si>
  <si>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</si>
  <si>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</si>
  <si>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</si>
  <si>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</si>
  <si>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</si>
  <si>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</si>
  <si>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</si>
  <si>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</si>
  <si>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</si>
  <si>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</si>
  <si>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</si>
  <si>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</si>
  <si>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</si>
  <si>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</si>
  <si>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</si>
  <si>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</si>
  <si>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</si>
  <si>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</si>
  <si>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</si>
  <si>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</si>
  <si>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</si>
  <si>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</si>
  <si>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</si>
  <si>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</si>
  <si>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</si>
  <si>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</si>
  <si>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</si>
  <si>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</si>
  <si>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</si>
  <si>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</si>
  <si>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</si>
  <si>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</si>
  <si>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</si>
  <si>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</si>
  <si>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</si>
  <si>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</si>
  <si>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</si>
  <si>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</si>
  <si>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</si>
  <si>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</si>
  <si>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</si>
  <si>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</si>
  <si>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</si>
  <si>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</si>
  <si>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</si>
  <si>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</si>
  <si>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</si>
  <si>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</si>
  <si>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</si>
  <si>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</si>
  <si>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</si>
  <si>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</si>
  <si>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</si>
  <si>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</si>
  <si>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</si>
  <si>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</si>
  <si>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</si>
  <si>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</si>
  <si>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</si>
  <si>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</si>
  <si>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</si>
  <si>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</si>
  <si>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</si>
  <si>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</si>
  <si>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</si>
  <si>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</si>
  <si>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</si>
  <si>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</si>
  <si>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</si>
  <si>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</si>
  <si>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</si>
  <si>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</si>
  <si>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</si>
  <si>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</si>
  <si>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</si>
  <si>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</si>
  <si>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</si>
  <si>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</si>
  <si>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</si>
  <si>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</si>
  <si>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</si>
  <si>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</si>
  <si>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</si>
  <si>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</si>
  <si>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</si>
  <si>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</si>
  <si>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</si>
  <si>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</si>
  <si>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</si>
  <si>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</si>
  <si>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</si>
  <si>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</si>
  <si>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</si>
  <si>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</si>
  <si>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</si>
  <si>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</si>
  <si>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</si>
  <si>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</si>
  <si>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</si>
  <si>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</si>
  <si>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</si>
  <si>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</si>
  <si>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</si>
  <si>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</si>
  <si>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</si>
  <si>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</si>
  <si>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</si>
  <si>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</si>
  <si>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</si>
  <si>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</si>
  <si>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</si>
  <si>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</si>
  <si>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</si>
  <si>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</si>
  <si>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</si>
  <si>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</si>
  <si>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</si>
  <si>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</si>
  <si>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</si>
  <si>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</si>
  <si>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</si>
  <si>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</si>
  <si>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</si>
  <si>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</si>
  <si>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</si>
  <si>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</si>
  <si>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</si>
  <si>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</si>
  <si>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</si>
  <si>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</si>
  <si>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</si>
  <si>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</si>
  <si>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</si>
  <si>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</si>
  <si>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</si>
  <si>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</si>
  <si>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</si>
  <si>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</si>
  <si>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</si>
  <si>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</si>
  <si>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</si>
  <si>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</si>
  <si>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</si>
  <si>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</si>
  <si>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</si>
  <si>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</si>
  <si>
    <t xml:space="preserve">A5:  cột O Sheet Import </t>
  </si>
  <si>
    <t xml:space="preserve">B5: cột P Import_Detail </t>
  </si>
  <si>
    <t>C5: cột A sheet Import</t>
  </si>
  <si>
    <t>D5: cột B sheet Import</t>
  </si>
  <si>
    <t>E5: cột C sheet Import</t>
  </si>
  <si>
    <t>F5: cột D sheet Import</t>
  </si>
  <si>
    <t>G5: cột H sheet Import</t>
  </si>
  <si>
    <t>H5:  Cột R  sheet Import</t>
  </si>
  <si>
    <t>I: cột u sheet import</t>
  </si>
  <si>
    <t>M=AB sheet import</t>
  </si>
  <si>
    <t>N= AU sheet imp-detail</t>
  </si>
  <si>
    <t>O= Av sheet imp-detail</t>
  </si>
  <si>
    <t>j = V sheet import</t>
  </si>
  <si>
    <t>K=AA import</t>
  </si>
  <si>
    <t>L=j-k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</si>
</sst>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_(* #,##0_);_(* \(#,##0\);_(* &quot;-&quot;??_);_(@_)"/>
    <numFmt numFmtId="182" formatCode="0_);\(0\)"/>
  </numFmts>
  <fonts count="25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14" fontId="0" fillId="0" borderId="0" xfId="0" applyNumberFormat="1"/>
    <xf numFmtId="172" fontId="5" fillId="0" borderId="2" xfId="0" applyNumberFormat="1" applyFont="1" applyBorder="1" applyAlignment="1">
      <alignment vertical="center"/>
    </xf>
    <xf numFmtId="181" fontId="8" fillId="0" borderId="8" xfId="1" applyNumberFormat="1" applyFont="1" applyBorder="1"/>
    <xf numFmtId="181" fontId="8" fillId="0" borderId="8" xfId="0" applyNumberFormat="1" applyFont="1" applyBorder="1"/>
    <xf numFmtId="182" fontId="0" fillId="0" borderId="0" xfId="0" applyNumberFormat="1"/>
    <xf numFmtId="182" fontId="18" fillId="13" borderId="0" xfId="0" applyNumberFormat="1" applyFont="1" applyFill="1"/>
    <xf numFmtId="182" fontId="4" fillId="2" borderId="1" xfId="0" applyNumberFormat="1" applyFont="1" applyFill="1" applyBorder="1" applyAlignment="1">
      <alignment horizontal="center" vertical="center" wrapText="1"/>
    </xf>
    <xf numFmtId="182" fontId="8" fillId="0" borderId="8" xfId="0" applyNumberFormat="1" applyFont="1" applyBorder="1"/>
    <xf numFmtId="182" fontId="19" fillId="7" borderId="1" xfId="0" applyNumberFormat="1" applyFont="1" applyFill="1" applyBorder="1" applyAlignment="1">
      <alignment horizontal="center" vertical="center" wrapText="1"/>
    </xf>
    <xf numFmtId="0" fontId="22" fillId="0" borderId="0" xfId="0" applyFont="1"/>
    <xf numFmtId="0" fontId="22" fillId="13" borderId="0" xfId="0" applyFont="1" applyFill="1"/>
    <xf numFmtId="0" fontId="23" fillId="0" borderId="0" xfId="0" applyFont="1"/>
    <xf numFmtId="0" fontId="23" fillId="13" borderId="0" xfId="0" quotePrefix="1" applyFont="1" applyFill="1"/>
    <xf numFmtId="14" fontId="18" fillId="0" borderId="0" xfId="0" applyNumberFormat="1" applyFont="1"/>
    <xf numFmtId="14" fontId="4" fillId="7" borderId="1" xfId="0" applyNumberFormat="1" applyFont="1" applyFill="1" applyBorder="1" applyAlignment="1">
      <alignment horizontal="center" vertical="center" wrapText="1"/>
    </xf>
    <xf numFmtId="14" fontId="24" fillId="3" borderId="8" xfId="0" applyNumberFormat="1" applyFont="1" applyFill="1" applyBorder="1" applyAlignment="1">
      <alignment horizontal="center" vertical="center"/>
    </xf>
    <xf numFmtId="14" fontId="7" fillId="0" borderId="0" xfId="0" applyNumberFormat="1" applyFont="1" applyAlignment="1">
      <alignment vertical="center"/>
    </xf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4</xdr:row>
      <xdr:rowOff>0</xdr:rowOff>
    </xdr:from>
    <xdr:to>
      <xdr:col>16</xdr:col>
      <xdr:colOff>858931</xdr:colOff>
      <xdr:row>4</xdr:row>
      <xdr:rowOff>272303</xdr:rowOff>
    </xdr:to>
    <xdr:sp macro="[0]!main2" textlink="">
      <xdr:nvSpPr>
        <xdr:cNvPr id="5" name="Rectangle 4">
          <a:extLst>
            <a:ext uri="{FF2B5EF4-FFF2-40B4-BE49-F238E27FC236}">
              <a16:creationId xmlns:a16="http://schemas.microsoft.com/office/drawing/2014/main" id="{1BA57FC7-FC00-4EAC-8F5F-EBAF8C514ACF}"/>
            </a:ext>
          </a:extLst>
        </xdr:cNvPr>
        <xdr:cNvSpPr/>
      </xdr:nvSpPr>
      <xdr:spPr>
        <a:xfrm>
          <a:off x="11677650" y="72390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16</xdr:col>
      <xdr:colOff>858931</xdr:colOff>
      <xdr:row>3</xdr:row>
      <xdr:rowOff>91328</xdr:rowOff>
    </xdr:to>
    <xdr:sp macro="[0]!DateFromImport" textlink="">
      <xdr:nvSpPr>
        <xdr:cNvPr id="8" name="Rectangle 7">
          <a:extLst>
            <a:ext uri="{FF2B5EF4-FFF2-40B4-BE49-F238E27FC236}">
              <a16:creationId xmlns:a16="http://schemas.microsoft.com/office/drawing/2014/main" id="{41031DAB-538F-47EF-B9BE-6C9FA756A38C}"/>
            </a:ext>
          </a:extLst>
        </xdr:cNvPr>
        <xdr:cNvSpPr/>
      </xdr:nvSpPr>
      <xdr:spPr>
        <a:xfrm>
          <a:off x="11677650" y="36195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17</xdr:col>
      <xdr:colOff>858931</xdr:colOff>
      <xdr:row>3</xdr:row>
      <xdr:rowOff>91328</xdr:rowOff>
    </xdr:to>
    <xdr:sp macro="[0]!DateToImport" textlink="">
      <xdr:nvSpPr>
        <xdr:cNvPr id="10" name="Rectangle 9">
          <a:extLst>
            <a:ext uri="{FF2B5EF4-FFF2-40B4-BE49-F238E27FC236}">
              <a16:creationId xmlns:a16="http://schemas.microsoft.com/office/drawing/2014/main" id="{E8DDE263-C1B3-497F-B98D-1EC43B80F02B}"/>
            </a:ext>
          </a:extLst>
        </xdr:cNvPr>
        <xdr:cNvSpPr/>
      </xdr:nvSpPr>
      <xdr:spPr>
        <a:xfrm>
          <a:off x="12639675" y="361950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M4" activePane="bottomRight" state="frozen"/>
      <selection pane="topRight" activeCell="F1" sqref="F1"/>
      <selection pane="bottomLeft" activeCell="A4" sqref="A4"/>
      <selection pane="bottomRight" activeCell="M6" sqref="M6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233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>
        <v>45301</v>
      </c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78" t="s">
        <v>235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12">
        <v>45302</v>
      </c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5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229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12">
        <v>45303</v>
      </c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12">
        <v>45303</v>
      </c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H6" sqref="H6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97" t="s">
        <v>62</v>
      </c>
      <c r="AC2" s="396"/>
      <c r="AD2" s="394" t="s">
        <v>63</v>
      </c>
      <c r="AE2" s="395"/>
      <c r="AF2" s="395"/>
      <c r="AG2" s="396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6" t="s">
        <v>232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4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5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4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5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5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P4" activePane="bottomRight" state="frozen"/>
      <selection pane="topRight" activeCell="G1" sqref="G1"/>
      <selection pane="bottomLeft" activeCell="A4" sqref="A4"/>
      <selection pane="bottomRight" activeCell="W4" sqref="W4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392">
        <v>45308</v>
      </c>
      <c r="W4" s="392">
        <v>45308</v>
      </c>
      <c r="X4" s="213"/>
      <c r="Y4" s="213">
        <v>45309</v>
      </c>
      <c r="Z4" s="213">
        <v>45310</v>
      </c>
      <c r="AA4" s="213"/>
      <c r="AB4" s="207" t="s">
        <v>150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151</v>
      </c>
      <c r="B5" s="221" t="s">
        <v>50</v>
      </c>
      <c r="C5" s="222" t="s">
        <v>140</v>
      </c>
      <c r="D5" s="79" t="s">
        <v>152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153</v>
      </c>
      <c r="P5" s="78">
        <v>45314</v>
      </c>
      <c r="Q5" s="79" t="s">
        <v>147</v>
      </c>
      <c r="R5" s="214">
        <v>45374</v>
      </c>
      <c r="S5" s="78"/>
      <c r="T5" s="224" t="s">
        <v>154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150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AP4" activePane="bottomRight" state="frozen"/>
      <selection pane="topRight" activeCell="F1" sqref="F1"/>
      <selection pane="bottomLeft" activeCell="A4" sqref="A4"/>
      <selection pane="bottomRight" activeCell="AV4" sqref="AV4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155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403" t="s">
        <v>156</v>
      </c>
      <c r="Q2" s="404"/>
      <c r="R2" s="405" t="s">
        <v>157</v>
      </c>
      <c r="S2" s="406"/>
      <c r="T2" s="27"/>
      <c r="U2" s="408" t="s">
        <v>158</v>
      </c>
      <c r="V2" s="396"/>
      <c r="W2" s="409" t="s">
        <v>158</v>
      </c>
      <c r="X2" s="399"/>
      <c r="Y2" s="399"/>
      <c r="Z2" s="399"/>
      <c r="AA2" s="399"/>
      <c r="AB2" s="399"/>
      <c r="AC2" s="399"/>
      <c r="AD2" s="410"/>
      <c r="AE2" s="401" t="s">
        <v>62</v>
      </c>
      <c r="AF2" s="402"/>
      <c r="AG2" s="398" t="s">
        <v>159</v>
      </c>
      <c r="AH2" s="399"/>
      <c r="AI2" s="399"/>
      <c r="AJ2" s="399"/>
      <c r="AK2" s="399"/>
      <c r="AL2" s="399"/>
      <c r="AM2" s="399"/>
      <c r="AN2" s="400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160</v>
      </c>
      <c r="E3" s="255" t="s">
        <v>64</v>
      </c>
      <c r="F3" s="255" t="s">
        <v>161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162</v>
      </c>
      <c r="Q3" s="258" t="s">
        <v>10</v>
      </c>
      <c r="R3" s="258" t="s">
        <v>162</v>
      </c>
      <c r="S3" s="259" t="s">
        <v>10</v>
      </c>
      <c r="T3" s="260" t="s">
        <v>163</v>
      </c>
      <c r="U3" s="407" t="s">
        <v>164</v>
      </c>
      <c r="V3" s="396"/>
      <c r="W3" s="261" t="s">
        <v>165</v>
      </c>
      <c r="X3" s="262" t="s">
        <v>166</v>
      </c>
      <c r="Y3" s="107" t="s">
        <v>167</v>
      </c>
      <c r="Z3" s="263" t="s">
        <v>168</v>
      </c>
      <c r="AA3" s="119" t="s">
        <v>169</v>
      </c>
      <c r="AB3" s="264" t="s">
        <v>170</v>
      </c>
      <c r="AC3" s="107" t="s">
        <v>171</v>
      </c>
      <c r="AD3" s="265" t="s">
        <v>81</v>
      </c>
      <c r="AE3" s="266" t="s">
        <v>82</v>
      </c>
      <c r="AF3" s="267" t="s">
        <v>10</v>
      </c>
      <c r="AG3" s="268" t="s">
        <v>172</v>
      </c>
      <c r="AH3" s="269" t="s">
        <v>73</v>
      </c>
      <c r="AI3" s="269" t="s">
        <v>173</v>
      </c>
      <c r="AJ3" s="269" t="s">
        <v>174</v>
      </c>
      <c r="AK3" s="270" t="s">
        <v>175</v>
      </c>
      <c r="AL3" s="271" t="s">
        <v>176</v>
      </c>
      <c r="AM3" s="271" t="s">
        <v>177</v>
      </c>
      <c r="AN3" s="271" t="s">
        <v>178</v>
      </c>
      <c r="AO3" s="272" t="s">
        <v>179</v>
      </c>
      <c r="AP3" s="269" t="s">
        <v>180</v>
      </c>
      <c r="AQ3" s="273" t="s">
        <v>89</v>
      </c>
      <c r="AR3" s="268" t="s">
        <v>181</v>
      </c>
      <c r="AS3" s="269" t="s">
        <v>182</v>
      </c>
      <c r="AT3" s="271" t="s">
        <v>183</v>
      </c>
      <c r="AU3" s="257" t="s">
        <v>184</v>
      </c>
      <c r="AV3" s="274" t="s">
        <v>185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186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186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186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186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186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187</v>
      </c>
      <c r="D2" s="347" t="s">
        <v>17</v>
      </c>
      <c r="E2" s="347" t="s">
        <v>18</v>
      </c>
      <c r="F2" s="348" t="s">
        <v>188</v>
      </c>
      <c r="G2" s="348" t="s">
        <v>189</v>
      </c>
      <c r="H2" s="348" t="s">
        <v>190</v>
      </c>
      <c r="I2" s="348" t="s">
        <v>191</v>
      </c>
      <c r="J2" s="347" t="s">
        <v>192</v>
      </c>
      <c r="K2" s="347" t="s">
        <v>193</v>
      </c>
      <c r="L2" s="347" t="s">
        <v>194</v>
      </c>
      <c r="M2" s="347" t="s">
        <v>195</v>
      </c>
      <c r="N2" s="347" t="s">
        <v>196</v>
      </c>
      <c r="O2" s="347" t="s">
        <v>197</v>
      </c>
      <c r="P2" s="347" t="s">
        <v>106</v>
      </c>
      <c r="Q2" s="347" t="s">
        <v>198</v>
      </c>
      <c r="R2" s="347" t="s">
        <v>199</v>
      </c>
      <c r="S2" s="347" t="s">
        <v>200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201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202</v>
      </c>
      <c r="H3" s="354" t="s">
        <v>144</v>
      </c>
      <c r="I3" s="356">
        <f>IF(ISBLANK('Follow up'!$F3),"-",'Follow up'!$F3+3)</f>
        <v>45313</v>
      </c>
      <c r="J3" s="357" t="s">
        <v>203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204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205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206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207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zoomScale="85" zoomScaleNormal="85" workbookViewId="0">
      <selection activeCell="G18" sqref="G18"/>
    </sheetView>
  </sheetViews>
  <sheetFormatPr defaultColWidth="14.42578125" defaultRowHeight="15" customHeight="1" x14ac:dyDescent="0.25"/>
  <cols>
    <col min="1" max="1" width="14.4257812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9" width="13" customWidth="1"/>
    <col min="10" max="10" width="13" style="381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208</v>
      </c>
    </row>
    <row r="2" spans="1:12" ht="14.25" customHeight="1" x14ac:dyDescent="0.25">
      <c r="A2" s="367" t="s">
        <v>209</v>
      </c>
      <c r="B2" s="69">
        <v>45261</v>
      </c>
      <c r="C2" s="367" t="s">
        <v>210</v>
      </c>
      <c r="D2" s="69">
        <v>45323</v>
      </c>
      <c r="F2" s="367" t="s">
        <v>211</v>
      </c>
      <c r="G2" s="372"/>
      <c r="I2" s="367" t="s">
        <v>26</v>
      </c>
      <c r="J2" s="382"/>
    </row>
    <row r="3" spans="1:12" ht="14.25" customHeight="1" x14ac:dyDescent="0.25">
      <c r="K3" t="s">
        <v>90</v>
      </c>
    </row>
    <row r="4" spans="1:12" ht="37.5" customHeight="1" x14ac:dyDescent="0.25">
      <c r="A4" s="6" t="s">
        <v>17</v>
      </c>
      <c r="B4" s="6" t="s">
        <v>18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212</v>
      </c>
      <c r="J4" s="383" t="s">
        <v>213</v>
      </c>
      <c r="K4" s="6" t="s">
        <v>214</v>
      </c>
      <c r="L4" s="7" t="s">
        <v>26</v>
      </c>
    </row>
    <row r="5" spans="1:12" ht="14.25" customHeight="1" x14ac:dyDescent="0.25">
      <c r="A5" s="368">
        <v>21122023</v>
      </c>
      <c r="B5" s="373">
        <v>45281</v>
      </c>
      <c r="C5" s="373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3">
        <v>45300</v>
      </c>
      <c r="I5" s="373">
        <v>45301</v>
      </c>
      <c r="J5" s="384">
        <v>-1</v>
      </c>
      <c r="K5" s="379">
        <v>3726668</v>
      </c>
      <c r="L5" s="373" t="s">
        <v>46</v>
      </c>
    </row>
    <row r="6" spans="1:12" ht="14.25" customHeight="1" x14ac:dyDescent="0.25">
      <c r="A6" s="368">
        <v>21122023</v>
      </c>
      <c r="B6" s="373">
        <v>45281</v>
      </c>
      <c r="C6" s="373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3">
        <v>45300</v>
      </c>
      <c r="I6" s="373">
        <v>45302</v>
      </c>
      <c r="J6" s="384">
        <v>-2</v>
      </c>
      <c r="K6" s="379">
        <v>0</v>
      </c>
      <c r="L6" s="373" t="s">
        <v>46</v>
      </c>
    </row>
    <row r="7" spans="1:12" ht="14.25" customHeight="1" x14ac:dyDescent="0.25">
      <c r="A7" s="368">
        <v>21122023</v>
      </c>
      <c r="B7" s="373">
        <v>45281</v>
      </c>
      <c r="C7" s="373">
        <v>45294</v>
      </c>
      <c r="D7" s="368" t="s">
        <v>229</v>
      </c>
      <c r="E7" s="368" t="s">
        <v>36</v>
      </c>
      <c r="F7" s="368" t="s">
        <v>48</v>
      </c>
      <c r="G7" s="368">
        <v>40169320</v>
      </c>
      <c r="H7" s="373">
        <v>45300</v>
      </c>
      <c r="I7" s="373">
        <v>45303</v>
      </c>
      <c r="J7" s="384">
        <v>-3</v>
      </c>
      <c r="K7" s="379">
        <v>0</v>
      </c>
      <c r="L7" s="373" t="s">
        <v>46</v>
      </c>
    </row>
    <row r="8" spans="1:12" ht="14.25" customHeight="1" x14ac:dyDescent="0.25">
      <c r="A8" s="368" t="s">
        <v>56</v>
      </c>
      <c r="B8" s="373">
        <v>45313</v>
      </c>
      <c r="C8" s="373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3">
        <v>45317</v>
      </c>
      <c r="I8" s="373">
        <v>45303</v>
      </c>
      <c r="J8" s="384">
        <v>14</v>
      </c>
      <c r="K8" s="379">
        <v>114415337</v>
      </c>
      <c r="L8" s="373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84"/>
      <c r="K9" s="380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84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84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84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84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84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84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84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84"/>
      <c r="K17" s="373"/>
      <c r="L17" s="368"/>
    </row>
    <row r="18" spans="1:12" ht="14.25" customHeight="1" x14ac:dyDescent="0.25">
      <c r="K18" s="377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218</v>
      </c>
    </row>
    <row r="23" spans="1:12" ht="50.1" customHeight="1" x14ac:dyDescent="0.25">
      <c r="A23" s="6" t="s">
        <v>2</v>
      </c>
      <c r="B23" t="s">
        <v>219</v>
      </c>
    </row>
    <row r="24" spans="1:12" ht="50.1" customHeight="1" x14ac:dyDescent="0.25">
      <c r="A24" s="6" t="s">
        <v>3</v>
      </c>
      <c r="B24" t="s">
        <v>220</v>
      </c>
    </row>
    <row r="25" spans="1:12" ht="50.1" customHeight="1" x14ac:dyDescent="0.25">
      <c r="A25" s="6" t="s">
        <v>4</v>
      </c>
      <c r="B25" t="s">
        <v>221</v>
      </c>
    </row>
    <row r="26" spans="1:12" ht="50.1" customHeight="1" x14ac:dyDescent="0.25">
      <c r="A26" s="6" t="s">
        <v>5</v>
      </c>
      <c r="B26" t="s">
        <v>222</v>
      </c>
    </row>
    <row r="27" spans="1:12" ht="50.1" customHeight="1" x14ac:dyDescent="0.25">
      <c r="A27" s="6" t="s">
        <v>6</v>
      </c>
      <c r="B27" s="372" t="s">
        <v>225</v>
      </c>
    </row>
    <row r="28" spans="1:12" ht="50.1" customHeight="1" x14ac:dyDescent="0.25">
      <c r="A28" s="6" t="s">
        <v>24</v>
      </c>
      <c r="B28" t="s">
        <v>226</v>
      </c>
    </row>
    <row r="29" spans="1:12" ht="50.1" customHeight="1" x14ac:dyDescent="0.25">
      <c r="A29" s="6" t="s">
        <v>212</v>
      </c>
      <c r="B29" t="s">
        <v>234</v>
      </c>
    </row>
    <row r="30" spans="1:12" ht="50.1" customHeight="1" x14ac:dyDescent="0.25">
      <c r="A30" s="6" t="s">
        <v>213</v>
      </c>
      <c r="B30" s="371" t="s">
        <v>224</v>
      </c>
    </row>
    <row r="31" spans="1:12" ht="50.1" customHeight="1" x14ac:dyDescent="0.25">
      <c r="A31" s="6" t="s">
        <v>214</v>
      </c>
      <c r="B31" s="372" t="s">
        <v>236</v>
      </c>
    </row>
    <row r="32" spans="1:12" ht="50.1" customHeight="1" x14ac:dyDescent="0.25">
      <c r="A32" s="6" t="s">
        <v>26</v>
      </c>
      <c r="B32" t="s">
        <v>223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100"/>
  <sheetViews>
    <sheetView tabSelected="1" workbookViewId="0">
      <selection activeCell="A6" sqref="A6:O7"/>
    </sheetView>
  </sheetViews>
  <sheetFormatPr defaultColWidth="14.42578125" defaultRowHeight="15" customHeight="1" x14ac:dyDescent="0.25"/>
  <cols>
    <col min="1" max="1" width="20.28515625" customWidth="1"/>
    <col min="2" max="2" width="15.7109375" customWidth="1"/>
    <col min="3" max="4" width="8.7109375" customWidth="1"/>
    <col min="5" max="5" width="14.42578125" customWidth="1"/>
    <col min="6" max="6" width="12.5703125" customWidth="1"/>
    <col min="7" max="7" width="8.7109375" customWidth="1"/>
    <col min="8" max="8" width="8.7109375" style="381" customWidth="1"/>
    <col min="9" max="9" width="14.85546875" customWidth="1"/>
    <col min="10" max="10" width="13.85546875" style="377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7" ht="14.25" customHeight="1" x14ac:dyDescent="0.25">
      <c r="A1" s="93" t="s">
        <v>215</v>
      </c>
      <c r="C1" s="93"/>
    </row>
    <row r="2" spans="1:17" ht="14.25" customHeight="1" x14ac:dyDescent="0.25">
      <c r="B2" s="393"/>
      <c r="C2" s="93"/>
    </row>
    <row r="3" spans="1:17" ht="14.25" customHeight="1" x14ac:dyDescent="0.25">
      <c r="A3" s="367" t="s">
        <v>209</v>
      </c>
      <c r="B3" s="390"/>
      <c r="C3" s="367"/>
      <c r="D3" s="367" t="s">
        <v>210</v>
      </c>
      <c r="E3" s="377"/>
      <c r="G3" s="367" t="s">
        <v>95</v>
      </c>
      <c r="J3" s="390" t="s">
        <v>26</v>
      </c>
      <c r="K3" s="372" t="s">
        <v>150</v>
      </c>
    </row>
    <row r="4" spans="1:17" ht="14.25" customHeight="1" x14ac:dyDescent="0.25"/>
    <row r="5" spans="1:17" ht="50.25" customHeight="1" x14ac:dyDescent="0.25">
      <c r="A5" s="191" t="s">
        <v>17</v>
      </c>
      <c r="B5" s="191" t="s">
        <v>18</v>
      </c>
      <c r="C5" s="191" t="s">
        <v>95</v>
      </c>
      <c r="D5" s="191" t="s">
        <v>4</v>
      </c>
      <c r="E5" s="191" t="s">
        <v>6</v>
      </c>
      <c r="F5" s="191" t="s">
        <v>5</v>
      </c>
      <c r="G5" s="191" t="s">
        <v>10</v>
      </c>
      <c r="H5" s="385" t="s">
        <v>101</v>
      </c>
      <c r="I5" s="191" t="s">
        <v>20</v>
      </c>
      <c r="J5" s="391" t="s">
        <v>216</v>
      </c>
      <c r="K5" s="191" t="s">
        <v>217</v>
      </c>
      <c r="L5" s="191" t="s">
        <v>213</v>
      </c>
      <c r="M5" s="191" t="s">
        <v>26</v>
      </c>
      <c r="N5" s="369" t="s">
        <v>184</v>
      </c>
      <c r="O5" s="370" t="s">
        <v>185</v>
      </c>
    </row>
    <row r="6" spans="1:17" ht="14.25" customHeight="1" x14ac:dyDescent="0.25">
      <c r="A6" s="368" t="s">
        <v>146</v>
      </c>
      <c r="B6" s="373">
        <v>45309</v>
      </c>
      <c r="C6" s="368" t="s">
        <v>35</v>
      </c>
      <c r="D6" s="368" t="s">
        <v>36</v>
      </c>
      <c r="E6" s="368">
        <v>40059990</v>
      </c>
      <c r="F6" s="368" t="s">
        <v>141</v>
      </c>
      <c r="G6" s="368">
        <v>1000</v>
      </c>
      <c r="H6" s="384">
        <v>45369</v>
      </c>
      <c r="I6" s="368" t="s">
        <v>149</v>
      </c>
      <c r="J6" s="373">
        <v>45308</v>
      </c>
      <c r="K6" s="368"/>
      <c r="L6" s="368"/>
      <c r="M6" s="368" t="s">
        <v>150</v>
      </c>
      <c r="N6" s="368">
        <v>9208014</v>
      </c>
      <c r="O6" s="368">
        <v>16503620</v>
      </c>
      <c r="Q6" s="371" t="s">
        <v>237</v>
      </c>
    </row>
    <row r="7" spans="1:17" ht="14.25" customHeight="1" x14ac:dyDescent="0.25">
      <c r="A7" s="368" t="s">
        <v>153</v>
      </c>
      <c r="B7" s="373">
        <v>45314</v>
      </c>
      <c r="C7" s="368" t="s">
        <v>151</v>
      </c>
      <c r="D7" s="368" t="s">
        <v>50</v>
      </c>
      <c r="E7" s="368">
        <v>40059990</v>
      </c>
      <c r="F7" s="368" t="s">
        <v>152</v>
      </c>
      <c r="G7" s="368">
        <v>4000</v>
      </c>
      <c r="H7" s="384">
        <v>45374</v>
      </c>
      <c r="I7" s="368" t="s">
        <v>149</v>
      </c>
      <c r="J7" s="373">
        <v>45315</v>
      </c>
      <c r="K7" s="368"/>
      <c r="L7" s="368"/>
      <c r="M7" s="368" t="s">
        <v>150</v>
      </c>
      <c r="N7" s="368">
        <v>111616121.90000001</v>
      </c>
      <c r="O7" s="368">
        <v>25363376</v>
      </c>
      <c r="Q7" s="389" t="s">
        <v>238</v>
      </c>
    </row>
    <row r="8" spans="1:17" ht="14.25" customHeight="1" x14ac:dyDescent="0.25">
      <c r="A8" s="368"/>
      <c r="B8" s="368"/>
      <c r="C8" s="368"/>
      <c r="D8" s="368"/>
      <c r="E8" s="368"/>
      <c r="F8" s="368"/>
      <c r="G8" s="368"/>
      <c r="H8" s="384"/>
      <c r="I8" s="368"/>
      <c r="J8" s="373"/>
      <c r="K8" s="368"/>
      <c r="L8" s="368"/>
      <c r="M8" s="368"/>
      <c r="N8" s="368">
        <f>SUM(N6:N7)</f>
        <v>120824135.90000001</v>
      </c>
      <c r="O8" s="368">
        <f>SUM(O6:O7)</f>
        <v>41866996</v>
      </c>
      <c r="Q8" t="s">
        <v>239</v>
      </c>
    </row>
    <row r="9" spans="1:17" ht="14.25" customHeight="1" x14ac:dyDescent="0.25">
      <c r="A9" s="368"/>
      <c r="B9" s="368"/>
      <c r="C9" s="368"/>
      <c r="D9" s="368"/>
      <c r="E9" s="368"/>
      <c r="F9" s="368"/>
      <c r="G9" s="368"/>
      <c r="H9" s="384"/>
      <c r="I9" s="368"/>
      <c r="J9" s="373"/>
      <c r="K9" s="368"/>
      <c r="L9" s="368"/>
      <c r="M9" s="368"/>
      <c r="N9" s="368"/>
      <c r="O9" s="368"/>
      <c r="Q9" t="s">
        <v>240</v>
      </c>
    </row>
    <row r="10" spans="1:17" ht="14.25" customHeight="1" x14ac:dyDescent="0.25">
      <c r="A10" s="368"/>
      <c r="B10" s="368"/>
      <c r="C10" s="368"/>
      <c r="D10" s="368"/>
      <c r="E10" s="368"/>
      <c r="F10" s="368"/>
      <c r="G10" s="368"/>
      <c r="H10" s="384"/>
      <c r="I10" s="368"/>
      <c r="J10" s="373"/>
      <c r="K10" s="368"/>
      <c r="L10" s="368"/>
      <c r="M10" s="368"/>
      <c r="N10" s="368"/>
      <c r="O10" s="368"/>
      <c r="Q10" t="s">
        <v>241</v>
      </c>
    </row>
    <row r="11" spans="1:17" ht="14.25" customHeight="1" x14ac:dyDescent="0.25">
      <c r="A11" s="368"/>
      <c r="B11" s="368"/>
      <c r="C11" s="368"/>
      <c r="D11" s="368"/>
      <c r="E11" s="368"/>
      <c r="F11" s="368"/>
      <c r="G11" s="368"/>
      <c r="H11" s="384"/>
      <c r="I11" s="368"/>
      <c r="J11" s="373"/>
      <c r="K11" s="368"/>
      <c r="L11" s="368"/>
      <c r="M11" s="368"/>
      <c r="N11" s="368"/>
      <c r="O11" s="368"/>
      <c r="Q11" t="s">
        <v>242</v>
      </c>
    </row>
    <row r="12" spans="1:17" ht="14.25" customHeight="1" x14ac:dyDescent="0.25">
      <c r="A12" s="368"/>
      <c r="B12" s="368"/>
      <c r="C12" s="368"/>
      <c r="D12" s="368"/>
      <c r="E12" s="368"/>
      <c r="F12" s="368"/>
      <c r="G12" s="368"/>
      <c r="H12" s="384"/>
      <c r="I12" s="368"/>
      <c r="J12" s="373"/>
      <c r="K12" s="368"/>
      <c r="L12" s="368"/>
      <c r="M12" s="368"/>
      <c r="N12" s="368"/>
      <c r="O12" s="368"/>
      <c r="Q12" t="s">
        <v>243</v>
      </c>
    </row>
    <row r="13" spans="1:17" ht="14.25" customHeight="1" x14ac:dyDescent="0.25">
      <c r="A13" s="368"/>
      <c r="B13" s="368"/>
      <c r="C13" s="368"/>
      <c r="D13" s="368"/>
      <c r="E13" s="368"/>
      <c r="F13" s="368"/>
      <c r="G13" s="368"/>
      <c r="H13" s="384"/>
      <c r="I13" s="368"/>
      <c r="J13" s="373"/>
      <c r="K13" s="368"/>
      <c r="L13" s="368"/>
      <c r="M13" s="368"/>
      <c r="N13" s="368"/>
      <c r="O13" s="368"/>
      <c r="Q13" s="386" t="s">
        <v>244</v>
      </c>
    </row>
    <row r="14" spans="1:17" ht="14.25" customHeight="1" x14ac:dyDescent="0.25">
      <c r="A14" s="368"/>
      <c r="B14" s="368"/>
      <c r="C14" s="368"/>
      <c r="D14" s="368"/>
      <c r="E14" s="368"/>
      <c r="F14" s="368"/>
      <c r="G14" s="368"/>
      <c r="H14" s="384"/>
      <c r="I14" s="368"/>
      <c r="J14" s="373"/>
      <c r="K14" s="368"/>
      <c r="L14" s="368"/>
      <c r="M14" s="368"/>
      <c r="N14" s="368"/>
      <c r="O14" s="368"/>
      <c r="Q14" s="386" t="s">
        <v>245</v>
      </c>
    </row>
    <row r="15" spans="1:17" ht="14.25" customHeight="1" x14ac:dyDescent="0.25">
      <c r="A15" s="368"/>
      <c r="B15" s="368"/>
      <c r="C15" s="368"/>
      <c r="D15" s="368"/>
      <c r="E15" s="368"/>
      <c r="F15" s="368"/>
      <c r="G15" s="368"/>
      <c r="H15" s="384"/>
      <c r="I15" s="368"/>
      <c r="J15" s="373"/>
      <c r="K15" s="368"/>
      <c r="L15" s="368"/>
      <c r="M15" s="368"/>
      <c r="N15" s="368"/>
      <c r="O15" s="368"/>
      <c r="Q15" s="388" t="s">
        <v>250</v>
      </c>
    </row>
    <row r="16" spans="1:17" ht="14.25" customHeight="1" x14ac:dyDescent="0.25">
      <c r="A16" s="368"/>
      <c r="B16" s="368"/>
      <c r="C16" s="368"/>
      <c r="D16" s="368"/>
      <c r="E16" s="368"/>
      <c r="F16" s="368"/>
      <c r="G16" s="368"/>
      <c r="H16" s="384"/>
      <c r="I16" s="368"/>
      <c r="J16" s="373"/>
      <c r="K16" s="368"/>
      <c r="L16" s="368"/>
      <c r="M16" s="368"/>
      <c r="N16" s="368"/>
      <c r="O16" s="368"/>
      <c r="Q16" s="386" t="s">
        <v>246</v>
      </c>
    </row>
    <row r="17" spans="1:17" ht="14.25" customHeight="1" x14ac:dyDescent="0.25">
      <c r="A17" s="368"/>
      <c r="B17" s="368"/>
      <c r="C17" s="368"/>
      <c r="D17" s="368"/>
      <c r="E17" s="368"/>
      <c r="F17" s="368"/>
      <c r="G17" s="368"/>
      <c r="H17" s="384"/>
      <c r="I17" s="368"/>
      <c r="J17" s="373"/>
      <c r="K17" s="368"/>
      <c r="L17" s="368"/>
      <c r="M17" s="368"/>
      <c r="N17" s="368"/>
      <c r="O17" s="368"/>
      <c r="Q17" s="387" t="s">
        <v>247</v>
      </c>
    </row>
    <row r="18" spans="1:17" ht="14.25" customHeight="1" x14ac:dyDescent="0.25">
      <c r="A18" s="368"/>
      <c r="B18" s="368"/>
      <c r="C18" s="368"/>
      <c r="D18" s="368"/>
      <c r="E18" s="368"/>
      <c r="F18" s="368"/>
      <c r="G18" s="368"/>
      <c r="H18" s="384"/>
      <c r="I18" s="368"/>
      <c r="J18" s="373"/>
      <c r="K18" s="368"/>
      <c r="L18" s="368"/>
      <c r="M18" s="368"/>
      <c r="N18" s="368"/>
      <c r="O18" s="368"/>
      <c r="Q18" s="387" t="s">
        <v>248</v>
      </c>
    </row>
    <row r="19" spans="1:17" ht="14.25" customHeight="1" x14ac:dyDescent="0.25">
      <c r="Q19" s="386" t="s">
        <v>249</v>
      </c>
    </row>
    <row r="20" spans="1:17" ht="14.25" customHeight="1" x14ac:dyDescent="0.25">
      <c r="Q20" s="386" t="s">
        <v>251</v>
      </c>
    </row>
    <row r="21" spans="1:17" ht="14.25" customHeight="1" x14ac:dyDescent="0.25"/>
    <row r="22" spans="1:17" ht="14.25" customHeight="1" x14ac:dyDescent="0.25"/>
    <row r="23" spans="1:17" ht="14.25" customHeight="1" x14ac:dyDescent="0.25"/>
    <row r="24" spans="1:17" ht="14.25" customHeight="1" x14ac:dyDescent="0.25"/>
    <row r="25" spans="1:17" ht="14.25" customHeight="1" x14ac:dyDescent="0.25"/>
    <row r="26" spans="1:17" ht="14.25" customHeight="1" x14ac:dyDescent="0.25"/>
    <row r="27" spans="1:17" ht="14.25" customHeight="1" x14ac:dyDescent="0.25"/>
    <row r="28" spans="1:17" ht="14.25" customHeight="1" x14ac:dyDescent="0.25"/>
    <row r="29" spans="1:17" ht="14.25" customHeight="1" x14ac:dyDescent="0.25"/>
    <row r="30" spans="1:17" ht="14.25" customHeight="1" x14ac:dyDescent="0.25"/>
    <row r="31" spans="1:17" ht="14.25" customHeight="1" x14ac:dyDescent="0.25"/>
    <row r="32" spans="1:17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dataConsolidate/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DD0A4D-3D09-4B25-91FA-5B3C56BDE13D}">
          <x14:formula1>
            <xm:f>'Forwarder list'!$A$1:$A$4</xm:f>
          </x14:formula1>
          <xm:sqref>K3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227</v>
      </c>
    </row>
    <row r="2" spans="1:1" x14ac:dyDescent="0.25">
      <c r="A2" t="s">
        <v>49</v>
      </c>
    </row>
    <row r="3" spans="1:1" x14ac:dyDescent="0.25">
      <c r="A3" t="s">
        <v>228</v>
      </c>
    </row>
    <row r="4" spans="1:1" x14ac:dyDescent="0.25">
      <c r="A4" t="s">
        <v>229</v>
      </c>
    </row>
    <row r="5" spans="1:1" x14ac:dyDescent="0.25">
      <c r="A5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231</v>
      </c>
    </row>
    <row r="3" spans="1:1" x14ac:dyDescent="0.25">
      <c r="A3" s="30" t="s">
        <v>150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Props1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Chí Nguyên Tạ</cp:lastModifiedBy>
  <cp:lastPrinted>2024-12-13T07:56:31Z</cp:lastPrinted>
  <dcterms:created xsi:type="dcterms:W3CDTF">2015-06-05T18:17:20Z</dcterms:created>
  <dcterms:modified xsi:type="dcterms:W3CDTF">2025-02-07T16:02:32Z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