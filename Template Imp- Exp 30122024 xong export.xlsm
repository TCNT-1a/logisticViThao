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A2364AD5-1105-47B8-A934-8C2A5930C629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  <sheet name="Form1" sheetId="11" r:id="rId10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6" l="1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Q4" i="4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AH7" i="2" s="1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AI4" i="1"/>
  <c r="J4" i="1"/>
  <c r="AU7" i="4" l="1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<sst xmlns="http://schemas.openxmlformats.org/spreadsheetml/2006/main" count="407" uniqueCount="243">
  <si>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</si>
  <si>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</si>
  <si>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</si>
  <si>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</si>
  <si>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</si>
  <si>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</si>
  <si>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</si>
  <si>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</si>
  <si>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</si>
  <si>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</si>
  <si>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</si>
  <si>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</si>
  <si>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</si>
  <si>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</si>
  <si>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</si>
  <si>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</si>
  <si>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</si>
  <si>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</si>
  <si>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</si>
  <si>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</si>
  <si>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</si>
  <si>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</si>
  <si>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</si>
  <si>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</si>
  <si>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</si>
  <si>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</si>
  <si>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</si>
  <si>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</si>
  <si>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</si>
  <si>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</si>
  <si>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</si>
  <si>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</si>
  <si>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</si>
  <si>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</si>
  <si>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</si>
  <si>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</si>
  <si>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</si>
  <si>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</si>
  <si>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</si>
  <si>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</si>
  <si>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</si>
  <si>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</si>
  <si>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</si>
  <si>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</si>
  <si>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</si>
  <si>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</si>
  <si>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</si>
  <si>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</si>
  <si>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</si>
  <si>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</si>
  <si>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</si>
  <si>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</si>
  <si>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</si>
  <si>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</si>
  <si>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</si>
  <si>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</si>
  <si>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</si>
  <si>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</si>
  <si>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</si>
  <si>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</si>
  <si>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</si>
  <si>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</si>
  <si>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</si>
  <si>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</si>
  <si>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</si>
  <si>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</si>
  <si>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</si>
  <si>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</si>
  <si>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</si>
  <si>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</si>
  <si>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</si>
  <si>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</si>
  <si>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</si>
  <si>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</si>
  <si>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</si>
  <si>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</si>
  <si>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</si>
  <si>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</si>
  <si>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</si>
  <si>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</si>
  <si>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</si>
  <si>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</si>
  <si>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</si>
  <si>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</si>
  <si>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</si>
  <si>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</si>
  <si>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</si>
  <si>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</si>
  <si>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</si>
  <si>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</si>
  <si>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</si>
  <si>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</si>
  <si>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</si>
  <si>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</si>
  <si>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</si>
  <si>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</si>
  <si>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</si>
  <si>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</si>
  <si>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</si>
  <si>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</si>
  <si>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</si>
  <si>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</si>
  <si>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</si>
  <si>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</si>
  <si>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</si>
  <si>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</si>
  <si>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</si>
  <si>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</si>
  <si>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</si>
  <si>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</si>
  <si>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</si>
  <si>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</si>
  <si>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</si>
  <si>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</si>
  <si>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</si>
  <si>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</si>
  <si>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</si>
  <si>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</si>
  <si>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</si>
  <si>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</si>
  <si>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</si>
  <si>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</si>
  <si>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</si>
  <si>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</si>
  <si>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</si>
  <si>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</si>
  <si>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</si>
  <si>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</si>
  <si>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</si>
  <si>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</si>
  <si>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</si>
  <si>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</si>
  <si>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</si>
  <si>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</si>
  <si>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</si>
  <si>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</si>
  <si>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</si>
  <si>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</si>
  <si>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</si>
  <si>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</si>
  <si>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</si>
  <si>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</si>
  <si>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</si>
  <si>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</si>
  <si>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</si>
  <si>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</si>
  <si>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</si>
  <si>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</si>
  <si>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</si>
  <si>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</si>
  <si>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</si>
  <si>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</si>
  <si>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</si>
  <si>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</si>
  <si>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</si>
  <si>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</si>
  <si>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</si>
  <si>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</si>
  <si>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</si>
  <si>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</si>
  <si>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</si>
  <si>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</si>
  <si>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</si>
  <si>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</si>
  <si>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</si>
  <si>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</si>
  <si>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</si>
  <si>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</si>
  <si>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</si>
  <si>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</si>
  <si>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</si>
  <si>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</si>
  <si>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</si>
  <si>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</si>
  <si>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</si>
  <si>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</si>
  <si>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</si>
  <si>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</si>
  <si>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</si>
  <si>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</si>
  <si>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</si>
  <si>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</si>
  <si>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</si>
  <si>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</si>
  <si>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</si>
  <si>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</si>
  <si>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</si>
  <si>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</si>
  <si>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</si>
  <si>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</si>
  <si>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</si>
  <si>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</si>
  <si>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</si>
  <si>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</si>
  <si>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</si>
  <si>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</si>
  <si>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</si>
  <si>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</si>
  <si>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</si>
  <si>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</si>
  <si>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</si>
  <si>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</si>
  <si>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</si>
  <si>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</si>
  <si>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</si>
  <si>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</si>
  <si>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</si>
  <si>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</si>
  <si>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</si>
  <si>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</si>
  <si>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</si>
  <si>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</si>
  <si>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</si>
  <si>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Ref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</si>
  <si>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</si>
  <si>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</si>
  <si>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</si>
  <si>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</si>
  <si>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</si>
  <si>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</si>
  <si>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</si>
  <si>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</si>
  <si>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</si>
  <si>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</si>
  <si>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</si>
  <si>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</si>
  <si>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</si>
  <si>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</si>
  <si>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AM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</si>
  <si>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</si>
  <si>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</si>
  <si>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</si>
  <si>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</si>
  <si>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</si>
  <si>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</si>
  <si>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</si>
  <si>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</si>
  <si>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</si>
  <si>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ID</t>
  </si>
  <si>
    <t>Start time</t>
  </si>
  <si>
    <t>Completion time</t>
  </si>
  <si>
    <t>Email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</si>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</sst>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m/d/yyyy\ h:mm:ss"/>
  </numFmts>
  <fonts count="21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39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172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19" fillId="7" borderId="1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0" fontId="18" fillId="13" borderId="0" xfId="0" applyFont="1" applyFill="1"/>
    <xf numFmtId="181" fontId="0" fillId="0" borderId="0" xfId="0" applyNumberFormat="1"/>
    <xf numFmtId="14" fontId="0" fillId="0" borderId="0" xfId="0" applyNumberFormat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</cellXfs>
  <cellStyles count="1">
    <cellStyle name="Normal" xfId="0" builtinId="0"/>
  </cellStyles>
  <dxfs count="14">
    <dxf>
      <numFmt numFmtId="0" formatCode="General"/>
    </dxf>
    <dxf>
      <numFmt numFmtId="0" formatCode="General"/>
    </dxf>
    <dxf>
      <numFmt numFmtId="181" formatCode="m/d/yyyy\ h:mm:ss"/>
    </dxf>
    <dxf>
      <numFmt numFmtId="181" formatCode="m/d/yyyy\ h:mm:ss"/>
    </dxf>
    <dxf>
      <numFmt numFmtId="0" formatCode="General"/>
    </dxf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13"/>
      <tableStyleElement type="firstRowStripe" dxfId="12"/>
      <tableStyleElement type="second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82B819-1291-446B-B533-B7AF3F732925}" name="Table2" displayName="Table2" ref="A1:E2" insertRow="1" totalsRowShown="0">
  <autoFilter ref="A1:E2" xr:uid="{7882B819-1291-446B-B533-B7AF3F732925}"/>
  <tableColumns count="5">
    <tableColumn id="1" xr3:uid="{835582A6-0F0A-4B28-BBB2-37272B0480A8}" name="ID" dataDxfId="4">
      <extLst>
        <ext xmlns:xlmsforms="http://schemas.microsoft.com/office/spreadsheetml/2023/msForms" uri="{FCC71383-01E1-4257-9335-427F07BE8D7F}">
          <xlmsforms:question id="id"/>
        </ext>
      </extLst>
    </tableColumn>
    <tableColumn id="2" xr3:uid="{CBF02529-4FF8-4F1C-88B5-955095F7F3E5}" name="Start time" dataDxfId="3">
      <extLst>
        <ext xmlns:xlmsforms="http://schemas.microsoft.com/office/spreadsheetml/2023/msForms" uri="{FCC71383-01E1-4257-9335-427F07BE8D7F}">
          <xlmsforms:question id="startDate"/>
        </ext>
      </extLst>
    </tableColumn>
    <tableColumn id="3" xr3:uid="{3126C9D6-6A64-404E-8DE3-CFD74A17BC94}" name="Completion time" dataDxfId="2">
      <extLst>
        <ext xmlns:xlmsforms="http://schemas.microsoft.com/office/spreadsheetml/2023/msForms" uri="{FCC71383-01E1-4257-9335-427F07BE8D7F}">
          <xlmsforms:question id="submitDate"/>
        </ext>
      </extLst>
    </tableColumn>
    <tableColumn id="4" xr3:uid="{3EDC158C-4369-4478-B70D-6E409FEA155A}" name="Email" dataDxfId="1">
      <extLst>
        <ext xmlns:xlmsforms="http://schemas.microsoft.com/office/spreadsheetml/2023/msForms" uri="{FCC71383-01E1-4257-9335-427F07BE8D7F}">
          <xlmsforms:question id="responder"/>
        </ext>
      </extLst>
    </tableColumn>
    <tableColumn id="5" xr3:uid="{3479CBFB-07AD-497F-A31D-9AAE0D190834}" name="Name" dataDxfId="0">
      <extLst>
        <ext xmlns:xlmsforms="http://schemas.microsoft.com/office/spreadsheetml/2023/msForms" uri="{FCC71383-01E1-4257-9335-427F07BE8D7F}">
          <xlmsforms:question id="responderName"/>
        </ext>
      </extLst>
    </tableColumn>
  </tableColumns>
  <tableStyleInfo showFirstColumn="0" showLastColumn="0" showRowStripes="1" showColumnStripes="0"/>
  <extLst>
    <ext xmlns:xlmsforms="http://schemas.microsoft.com/office/spreadsheetml/2023/msForms" uri="{839C7E11-91E4-4DBD-9C5D-0DEA604FA9AC}">
      <xlmsforms:msForm id="mjSx0rQlO0CfnBFN9fI_O2RHfDoZcINJmmWYT5S9HLpUN1NRU1NBWjdRV1BYWUJYVUU5TjJOMTVRRC4u" isFormConnected="1" maxResponseId="0" latestEventMarker="0">
        <xlmsforms:syncedQuestionId>id</xlmsforms:syncedQuestionId>
        <xlmsforms:syncedQuestionId>startDate</xlmsforms:syncedQuestionId>
        <xlmsforms:syncedQuestionId>submitDate</xlmsforms:syncedQuestionId>
        <xlmsforms:syncedQuestionId>responder</xlmsforms:syncedQuestionId>
        <xlmsforms:syncedQuestionId>responderName</xlmsforms:syncedQuestionId>
      </xlmsforms:msForm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R7" sqref="R7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236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/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27" t="str">
        <f t="shared" ref="AI4:AI7" si="1">IF(AH4=0,"-",ROUND(AG4/AH4,2))</f>
        <v>-</v>
      </c>
      <c r="AJ4" s="28"/>
    </row>
    <row r="5" spans="1:36" ht="33" customHeight="1" x14ac:dyDescent="0.25">
      <c r="A5" s="29">
        <v>45294</v>
      </c>
      <c r="B5" s="29">
        <v>45294</v>
      </c>
      <c r="C5" s="30" t="s">
        <v>35</v>
      </c>
      <c r="D5" s="31" t="s">
        <v>36</v>
      </c>
      <c r="E5" s="30" t="s">
        <v>47</v>
      </c>
      <c r="F5" s="32" t="s">
        <v>38</v>
      </c>
      <c r="G5" s="31" t="s">
        <v>39</v>
      </c>
      <c r="H5" s="33">
        <v>4000</v>
      </c>
      <c r="I5" s="34">
        <v>20</v>
      </c>
      <c r="J5" s="35">
        <f t="shared" si="0"/>
        <v>80000</v>
      </c>
      <c r="K5" s="36"/>
      <c r="L5" s="37"/>
      <c r="M5" s="38"/>
      <c r="N5" s="30" t="s">
        <v>40</v>
      </c>
      <c r="O5" s="30" t="s">
        <v>41</v>
      </c>
      <c r="P5" s="37" t="s">
        <v>42</v>
      </c>
      <c r="Q5" s="37">
        <v>21122023</v>
      </c>
      <c r="R5" s="38">
        <v>45281</v>
      </c>
      <c r="S5" s="29" t="s">
        <v>43</v>
      </c>
      <c r="T5" s="30" t="s">
        <v>44</v>
      </c>
      <c r="U5" s="29">
        <v>45293</v>
      </c>
      <c r="V5" s="29">
        <v>45296</v>
      </c>
      <c r="W5" s="29">
        <v>45299</v>
      </c>
      <c r="X5" s="29">
        <v>45300</v>
      </c>
      <c r="Y5" s="29"/>
      <c r="Z5" s="32" t="s">
        <v>45</v>
      </c>
      <c r="AA5" s="31" t="s">
        <v>46</v>
      </c>
      <c r="AB5" s="30"/>
      <c r="AC5" s="39"/>
      <c r="AD5" s="40"/>
      <c r="AE5" s="41"/>
      <c r="AF5" s="41"/>
      <c r="AG5" s="42"/>
      <c r="AH5" s="43"/>
      <c r="AI5" s="44" t="str">
        <f t="shared" si="1"/>
        <v>-</v>
      </c>
      <c r="AJ5" s="28"/>
    </row>
    <row r="6" spans="1:36" ht="33" customHeight="1" x14ac:dyDescent="0.25">
      <c r="A6" s="45">
        <v>45294</v>
      </c>
      <c r="B6" s="45">
        <v>45294</v>
      </c>
      <c r="C6" s="46" t="s">
        <v>232</v>
      </c>
      <c r="D6" s="47" t="s">
        <v>36</v>
      </c>
      <c r="E6" s="46" t="s">
        <v>48</v>
      </c>
      <c r="F6" s="48" t="s">
        <v>38</v>
      </c>
      <c r="G6" s="47" t="s">
        <v>39</v>
      </c>
      <c r="H6" s="49">
        <v>125000</v>
      </c>
      <c r="I6" s="50">
        <v>3</v>
      </c>
      <c r="J6" s="51">
        <f t="shared" si="0"/>
        <v>375000</v>
      </c>
      <c r="K6" s="52"/>
      <c r="L6" s="53"/>
      <c r="M6" s="54"/>
      <c r="N6" s="46" t="s">
        <v>40</v>
      </c>
      <c r="O6" s="46" t="s">
        <v>41</v>
      </c>
      <c r="P6" s="53" t="s">
        <v>42</v>
      </c>
      <c r="Q6" s="53">
        <v>21122023</v>
      </c>
      <c r="R6" s="54">
        <v>45281</v>
      </c>
      <c r="S6" s="45" t="s">
        <v>43</v>
      </c>
      <c r="T6" s="46" t="s">
        <v>44</v>
      </c>
      <c r="U6" s="45">
        <v>45293</v>
      </c>
      <c r="V6" s="45">
        <v>45296</v>
      </c>
      <c r="W6" s="45">
        <v>45299</v>
      </c>
      <c r="X6" s="45">
        <v>45300</v>
      </c>
      <c r="Y6" s="45"/>
      <c r="Z6" s="48" t="s">
        <v>45</v>
      </c>
      <c r="AA6" s="47" t="s">
        <v>46</v>
      </c>
      <c r="AB6" s="46"/>
      <c r="AC6" s="55"/>
      <c r="AD6" s="56"/>
      <c r="AE6" s="57"/>
      <c r="AF6" s="57"/>
      <c r="AG6" s="58"/>
      <c r="AH6" s="59"/>
      <c r="AI6" s="60" t="str">
        <f t="shared" si="1"/>
        <v>-</v>
      </c>
      <c r="AJ6" s="28"/>
    </row>
    <row r="7" spans="1:36" ht="33" customHeight="1" x14ac:dyDescent="0.25">
      <c r="A7" s="61">
        <v>45314</v>
      </c>
      <c r="B7" s="61">
        <v>45314</v>
      </c>
      <c r="C7" s="62" t="s">
        <v>49</v>
      </c>
      <c r="D7" s="63" t="s">
        <v>50</v>
      </c>
      <c r="E7" s="62" t="s">
        <v>51</v>
      </c>
      <c r="F7" s="64" t="s">
        <v>38</v>
      </c>
      <c r="G7" s="63" t="s">
        <v>39</v>
      </c>
      <c r="H7" s="65">
        <v>400000</v>
      </c>
      <c r="I7" s="66">
        <v>4</v>
      </c>
      <c r="J7" s="67">
        <f t="shared" si="0"/>
        <v>1600000</v>
      </c>
      <c r="K7" s="68">
        <f>'EXP Details'!AN7</f>
        <v>114415337</v>
      </c>
      <c r="L7" s="69" t="s">
        <v>52</v>
      </c>
      <c r="M7" s="70">
        <v>45261</v>
      </c>
      <c r="N7" s="62" t="s">
        <v>53</v>
      </c>
      <c r="O7" s="62" t="s">
        <v>54</v>
      </c>
      <c r="P7" s="71" t="s">
        <v>55</v>
      </c>
      <c r="Q7" s="71" t="s">
        <v>56</v>
      </c>
      <c r="R7" s="70">
        <v>45313</v>
      </c>
      <c r="S7" s="72" t="s">
        <v>57</v>
      </c>
      <c r="T7" s="62" t="s">
        <v>44</v>
      </c>
      <c r="U7" s="61">
        <v>45313</v>
      </c>
      <c r="V7" s="61">
        <v>45314</v>
      </c>
      <c r="W7" s="61">
        <v>45315</v>
      </c>
      <c r="X7" s="61">
        <v>45317</v>
      </c>
      <c r="Y7" s="61"/>
      <c r="Z7" s="64" t="s">
        <v>58</v>
      </c>
      <c r="AA7" s="63" t="s">
        <v>59</v>
      </c>
      <c r="AB7" s="62"/>
      <c r="AC7" s="73">
        <v>2.8999999999999998E-3</v>
      </c>
      <c r="AD7" s="74">
        <f>AC7*H7</f>
        <v>1160</v>
      </c>
      <c r="AE7" s="75">
        <f>K7</f>
        <v>114415337</v>
      </c>
      <c r="AF7" s="75">
        <v>26339.59</v>
      </c>
      <c r="AG7" s="76">
        <f>ROUND(AE7/AF7/H7,4)</f>
        <v>1.09E-2</v>
      </c>
      <c r="AH7" s="77">
        <f>AG7+I7</f>
        <v>4.0109000000000004</v>
      </c>
      <c r="AI7" s="78">
        <f t="shared" si="1"/>
        <v>0</v>
      </c>
      <c r="AJ7" s="28">
        <f>AG7/AH7*100</f>
        <v>0.27175945548380659</v>
      </c>
    </row>
    <row r="8" spans="1:36" ht="33" customHeight="1" x14ac:dyDescent="0.25">
      <c r="A8" s="79"/>
      <c r="B8" s="79"/>
      <c r="C8" s="80"/>
      <c r="D8" s="81"/>
      <c r="E8" s="80"/>
      <c r="F8" s="81"/>
      <c r="G8" s="81"/>
      <c r="H8" s="82"/>
      <c r="I8" s="83"/>
      <c r="J8" s="84"/>
      <c r="K8" s="85"/>
      <c r="L8" s="86"/>
      <c r="M8" s="87"/>
      <c r="N8" s="80"/>
      <c r="O8" s="80"/>
      <c r="P8" s="86"/>
      <c r="Q8" s="86"/>
      <c r="R8" s="87"/>
      <c r="S8" s="88"/>
      <c r="T8" s="80"/>
      <c r="U8" s="79"/>
      <c r="V8" s="79"/>
      <c r="W8" s="79"/>
      <c r="X8" s="79"/>
      <c r="Y8" s="79"/>
      <c r="Z8" s="81"/>
      <c r="AA8" s="81"/>
      <c r="AB8" s="80"/>
      <c r="AC8" s="89"/>
      <c r="AD8" s="90"/>
      <c r="AE8" s="91"/>
      <c r="AF8" s="91"/>
      <c r="AG8" s="92"/>
      <c r="AH8" s="77"/>
      <c r="AI8" s="78"/>
      <c r="AJ8" s="28"/>
    </row>
    <row r="9" spans="1:36" ht="33" customHeight="1" x14ac:dyDescent="0.25">
      <c r="A9" s="79"/>
      <c r="B9" s="79"/>
      <c r="C9" s="80"/>
      <c r="D9" s="81"/>
      <c r="E9" s="80"/>
      <c r="F9" s="81"/>
      <c r="G9" s="81"/>
      <c r="H9" s="82"/>
      <c r="I9" s="83"/>
      <c r="J9" s="84"/>
      <c r="K9" s="85"/>
      <c r="L9" s="86"/>
      <c r="M9" s="87"/>
      <c r="N9" s="80"/>
      <c r="O9" s="80"/>
      <c r="P9" s="86"/>
      <c r="Q9" s="86"/>
      <c r="R9" s="87"/>
      <c r="S9" s="88"/>
      <c r="T9" s="80"/>
      <c r="U9" s="79"/>
      <c r="V9" s="79"/>
      <c r="W9" s="79"/>
      <c r="X9" s="79"/>
      <c r="Y9" s="79"/>
      <c r="Z9" s="81"/>
      <c r="AA9" s="81"/>
      <c r="AB9" s="80"/>
      <c r="AC9" s="89"/>
      <c r="AD9" s="90"/>
      <c r="AE9" s="91"/>
      <c r="AF9" s="91"/>
      <c r="AG9" s="92"/>
      <c r="AH9" s="77"/>
      <c r="AI9" s="78"/>
      <c r="AJ9" s="28"/>
    </row>
    <row r="10" spans="1:36" ht="33" customHeight="1" x14ac:dyDescent="0.25">
      <c r="A10" s="79"/>
      <c r="B10" s="79"/>
      <c r="C10" s="80"/>
      <c r="D10" s="81"/>
      <c r="E10" s="80"/>
      <c r="F10" s="81"/>
      <c r="G10" s="81"/>
      <c r="H10" s="82"/>
      <c r="I10" s="93"/>
      <c r="J10" s="84"/>
      <c r="K10" s="85"/>
      <c r="L10" s="86"/>
      <c r="M10" s="87"/>
      <c r="N10" s="80"/>
      <c r="O10" s="80"/>
      <c r="P10" s="86"/>
      <c r="Q10" s="86"/>
      <c r="R10" s="87"/>
      <c r="S10" s="88"/>
      <c r="T10" s="80"/>
      <c r="U10" s="79"/>
      <c r="V10" s="79"/>
      <c r="W10" s="79"/>
      <c r="X10" s="79"/>
      <c r="Y10" s="79"/>
      <c r="Z10" s="81"/>
      <c r="AA10" s="81"/>
      <c r="AB10" s="80"/>
      <c r="AC10" s="89"/>
      <c r="AD10" s="90"/>
      <c r="AE10" s="91"/>
      <c r="AF10" s="91"/>
      <c r="AG10" s="92"/>
      <c r="AH10" s="77"/>
      <c r="AI10" s="78"/>
      <c r="AJ10" s="28"/>
    </row>
    <row r="11" spans="1:36" ht="33" customHeight="1" x14ac:dyDescent="0.25">
      <c r="A11" s="79"/>
      <c r="B11" s="79"/>
      <c r="C11" s="80"/>
      <c r="D11" s="81"/>
      <c r="E11" s="80"/>
      <c r="F11" s="81"/>
      <c r="G11" s="81"/>
      <c r="H11" s="82"/>
      <c r="I11" s="93"/>
      <c r="J11" s="84"/>
      <c r="K11" s="85"/>
      <c r="L11" s="86"/>
      <c r="M11" s="87"/>
      <c r="N11" s="80"/>
      <c r="O11" s="80"/>
      <c r="P11" s="86"/>
      <c r="Q11" s="86"/>
      <c r="R11" s="87"/>
      <c r="S11" s="88"/>
      <c r="T11" s="80"/>
      <c r="U11" s="79"/>
      <c r="V11" s="79"/>
      <c r="W11" s="79"/>
      <c r="X11" s="79"/>
      <c r="Y11" s="79"/>
      <c r="Z11" s="81"/>
      <c r="AA11" s="81"/>
      <c r="AB11" s="80"/>
      <c r="AC11" s="89"/>
      <c r="AD11" s="90"/>
      <c r="AE11" s="91"/>
      <c r="AF11" s="91"/>
      <c r="AG11" s="92"/>
      <c r="AH11" s="77"/>
      <c r="AI11" s="78"/>
      <c r="AJ11" s="28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10" priority="2" operator="notEqual">
      <formula>0</formula>
    </cfRule>
  </conditionalFormatting>
  <conditionalFormatting sqref="K4:K11">
    <cfRule type="cellIs" dxfId="9" priority="1" operator="notEqual">
      <formula>0</formula>
    </cfRule>
  </conditionalFormatting>
  <conditionalFormatting sqref="AH4:AI11">
    <cfRule type="cellIs" dxfId="8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topLeftCell="F1" workbookViewId="0">
      <selection activeCell="Y5" sqref="Y5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4" t="s">
        <v>60</v>
      </c>
      <c r="B1" s="95"/>
      <c r="C1" s="95"/>
      <c r="D1" s="96"/>
      <c r="E1" s="96"/>
      <c r="F1" s="95"/>
      <c r="G1" s="95"/>
      <c r="H1" s="28"/>
      <c r="I1" s="28"/>
      <c r="J1" s="28"/>
      <c r="K1" s="97"/>
      <c r="L1" s="98"/>
      <c r="M1" s="95"/>
      <c r="N1" s="98"/>
      <c r="O1" s="95"/>
      <c r="P1" s="95"/>
      <c r="Q1" s="28"/>
      <c r="R1" s="95"/>
      <c r="S1" s="28"/>
      <c r="T1" s="28"/>
      <c r="U1" s="28"/>
      <c r="V1" s="28"/>
      <c r="W1" s="28"/>
      <c r="X1" s="28"/>
      <c r="Y1" s="28"/>
      <c r="Z1" s="28"/>
      <c r="AA1" s="28"/>
      <c r="AB1" s="28"/>
      <c r="AC1" s="95"/>
      <c r="AD1" s="97"/>
      <c r="AE1" s="97"/>
      <c r="AF1" s="97"/>
      <c r="AG1" s="97"/>
      <c r="AH1" s="28"/>
      <c r="AI1" s="28"/>
      <c r="AJ1" s="28"/>
      <c r="AK1" s="28"/>
      <c r="AL1" s="28"/>
      <c r="AM1" s="28"/>
      <c r="AN1" s="28"/>
    </row>
    <row r="2" spans="1:40" ht="20.25" customHeight="1" x14ac:dyDescent="0.25">
      <c r="A2" s="28"/>
      <c r="B2" s="99"/>
      <c r="C2" s="95"/>
      <c r="D2" s="96"/>
      <c r="E2" s="96"/>
      <c r="F2" s="95"/>
      <c r="G2" s="95"/>
      <c r="H2" s="28"/>
      <c r="I2" s="28"/>
      <c r="J2" s="28"/>
      <c r="K2" s="97"/>
      <c r="L2" s="98"/>
      <c r="M2" s="95"/>
      <c r="N2" s="98"/>
      <c r="O2" s="95"/>
      <c r="P2" s="100"/>
      <c r="Q2" s="101"/>
      <c r="R2" s="102" t="s">
        <v>61</v>
      </c>
      <c r="S2" s="101"/>
      <c r="T2" s="101"/>
      <c r="U2" s="101"/>
      <c r="V2" s="101"/>
      <c r="W2" s="101"/>
      <c r="X2" s="101"/>
      <c r="Y2" s="101"/>
      <c r="Z2" s="101"/>
      <c r="AA2" s="103"/>
      <c r="AB2" s="385" t="s">
        <v>62</v>
      </c>
      <c r="AC2" s="384"/>
      <c r="AD2" s="382" t="s">
        <v>63</v>
      </c>
      <c r="AE2" s="383"/>
      <c r="AF2" s="383"/>
      <c r="AG2" s="384"/>
      <c r="AH2" s="28"/>
      <c r="AI2" s="28"/>
      <c r="AJ2" s="28"/>
      <c r="AK2" s="28"/>
      <c r="AL2" s="28"/>
      <c r="AM2" s="28"/>
      <c r="AN2" s="28"/>
    </row>
    <row r="3" spans="1:40" ht="48" customHeight="1" x14ac:dyDescent="0.25">
      <c r="A3" s="104" t="s">
        <v>2</v>
      </c>
      <c r="B3" s="104" t="s">
        <v>3</v>
      </c>
      <c r="C3" s="105" t="s">
        <v>4</v>
      </c>
      <c r="D3" s="104" t="s">
        <v>17</v>
      </c>
      <c r="E3" s="104" t="s">
        <v>64</v>
      </c>
      <c r="F3" s="106" t="s">
        <v>65</v>
      </c>
      <c r="G3" s="104" t="s">
        <v>66</v>
      </c>
      <c r="H3" s="104" t="s">
        <v>67</v>
      </c>
      <c r="I3" s="107" t="s">
        <v>68</v>
      </c>
      <c r="J3" s="104" t="s">
        <v>69</v>
      </c>
      <c r="K3" s="104" t="s">
        <v>15</v>
      </c>
      <c r="L3" s="104" t="s">
        <v>16</v>
      </c>
      <c r="M3" s="107" t="s">
        <v>26</v>
      </c>
      <c r="N3" s="108" t="s">
        <v>5</v>
      </c>
      <c r="O3" s="108" t="s">
        <v>6</v>
      </c>
      <c r="P3" s="109" t="s">
        <v>70</v>
      </c>
      <c r="Q3" s="110" t="s">
        <v>71</v>
      </c>
      <c r="R3" s="111" t="s">
        <v>72</v>
      </c>
      <c r="S3" s="110" t="s">
        <v>73</v>
      </c>
      <c r="T3" s="112" t="s">
        <v>74</v>
      </c>
      <c r="U3" s="111" t="s">
        <v>75</v>
      </c>
      <c r="V3" s="110" t="s">
        <v>76</v>
      </c>
      <c r="W3" s="111" t="s">
        <v>77</v>
      </c>
      <c r="X3" s="111" t="s">
        <v>78</v>
      </c>
      <c r="Y3" s="111" t="s">
        <v>79</v>
      </c>
      <c r="Z3" s="111" t="s">
        <v>80</v>
      </c>
      <c r="AA3" s="113" t="s">
        <v>81</v>
      </c>
      <c r="AB3" s="114" t="s">
        <v>82</v>
      </c>
      <c r="AC3" s="115" t="s">
        <v>10</v>
      </c>
      <c r="AD3" s="116" t="s">
        <v>83</v>
      </c>
      <c r="AE3" s="117" t="s">
        <v>84</v>
      </c>
      <c r="AF3" s="118" t="s">
        <v>85</v>
      </c>
      <c r="AG3" s="119" t="s">
        <v>72</v>
      </c>
      <c r="AH3" s="120" t="s">
        <v>86</v>
      </c>
      <c r="AI3" s="104" t="s">
        <v>87</v>
      </c>
      <c r="AJ3" s="104" t="s">
        <v>88</v>
      </c>
      <c r="AK3" s="104" t="s">
        <v>89</v>
      </c>
      <c r="AL3" s="104" t="s">
        <v>71</v>
      </c>
      <c r="AM3" s="378" t="s">
        <v>235</v>
      </c>
      <c r="AN3" s="104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1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2">
        <v>4</v>
      </c>
      <c r="I4" s="23"/>
      <c r="J4" s="122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3" t="str">
        <f>Export!F4</f>
        <v>40169320</v>
      </c>
      <c r="P4" s="124"/>
      <c r="Q4" s="125"/>
      <c r="R4" s="126"/>
      <c r="S4" s="125"/>
      <c r="T4" s="127"/>
      <c r="U4" s="126"/>
      <c r="V4" s="125"/>
      <c r="W4" s="126"/>
      <c r="X4" s="126"/>
      <c r="Y4" s="126"/>
      <c r="Z4" s="126"/>
      <c r="AA4" s="128"/>
      <c r="AB4" s="125"/>
      <c r="AC4" s="129">
        <v>3706668</v>
      </c>
      <c r="AD4" s="130"/>
      <c r="AE4" s="125"/>
      <c r="AF4" s="127"/>
      <c r="AG4" s="128"/>
      <c r="AH4" s="131"/>
      <c r="AI4" s="132"/>
      <c r="AJ4" s="133">
        <v>3432100</v>
      </c>
      <c r="AK4" s="132">
        <f>AJ4*0.08</f>
        <v>274568</v>
      </c>
      <c r="AL4" s="132">
        <v>20000</v>
      </c>
      <c r="AM4" s="376"/>
      <c r="AN4" s="134">
        <f>SUM(AJ4:AL4)</f>
        <v>3726668</v>
      </c>
    </row>
    <row r="5" spans="1:40" ht="31.5" customHeight="1" x14ac:dyDescent="0.25">
      <c r="A5" s="29">
        <f>Export!B5</f>
        <v>45294</v>
      </c>
      <c r="B5" s="37" t="str">
        <f>Export!C5</f>
        <v>ACBD</v>
      </c>
      <c r="C5" s="37" t="str">
        <f>Export!D5</f>
        <v>Turkey</v>
      </c>
      <c r="D5" s="135">
        <f>Export!Q5</f>
        <v>21122023</v>
      </c>
      <c r="E5" s="29" t="str">
        <f>Export!S5</f>
        <v>306161176000</v>
      </c>
      <c r="F5" s="29" t="str">
        <f>Export!Z5</f>
        <v>774666406000</v>
      </c>
      <c r="G5" s="37"/>
      <c r="H5" s="136"/>
      <c r="I5" s="40"/>
      <c r="J5" s="136"/>
      <c r="K5" s="30" t="str">
        <f>Export!O5</f>
        <v>DDU - Bursa, Turkey</v>
      </c>
      <c r="L5" s="37" t="str">
        <f>Export!P5</f>
        <v>Express</v>
      </c>
      <c r="M5" s="31" t="str">
        <f>Export!AA5</f>
        <v>FedEx</v>
      </c>
      <c r="N5" s="30" t="str">
        <f>Export!E5</f>
        <v>GASKET BLACK SHA70</v>
      </c>
      <c r="O5" s="137" t="str">
        <f>Export!F5</f>
        <v>40169320</v>
      </c>
      <c r="P5" s="138"/>
      <c r="Q5" s="139"/>
      <c r="R5" s="140"/>
      <c r="S5" s="139"/>
      <c r="T5" s="141"/>
      <c r="U5" s="140"/>
      <c r="V5" s="139"/>
      <c r="W5" s="140"/>
      <c r="X5" s="140"/>
      <c r="Y5" s="140"/>
      <c r="Z5" s="140"/>
      <c r="AA5" s="142"/>
      <c r="AB5" s="139"/>
      <c r="AC5" s="141"/>
      <c r="AD5" s="143"/>
      <c r="AE5" s="139"/>
      <c r="AF5" s="141"/>
      <c r="AG5" s="142"/>
      <c r="AH5" s="144"/>
      <c r="AI5" s="145"/>
      <c r="AJ5" s="146"/>
      <c r="AK5" s="145"/>
      <c r="AL5" s="145"/>
      <c r="AM5" s="377"/>
      <c r="AN5" s="134"/>
    </row>
    <row r="6" spans="1:40" ht="31.5" customHeight="1" x14ac:dyDescent="0.25">
      <c r="A6" s="45">
        <f>Export!B6</f>
        <v>45294</v>
      </c>
      <c r="B6" s="53" t="str">
        <f>Export!C6</f>
        <v>TTTT</v>
      </c>
      <c r="C6" s="53" t="str">
        <f>Export!D6</f>
        <v>Turkey</v>
      </c>
      <c r="D6" s="147">
        <f>Export!Q6</f>
        <v>21122023</v>
      </c>
      <c r="E6" s="45" t="str">
        <f>Export!S6</f>
        <v>306161176000</v>
      </c>
      <c r="F6" s="45" t="str">
        <f>Export!Z6</f>
        <v>774666406000</v>
      </c>
      <c r="G6" s="53"/>
      <c r="H6" s="148"/>
      <c r="I6" s="56"/>
      <c r="J6" s="148"/>
      <c r="K6" s="46" t="str">
        <f>Export!O6</f>
        <v>DDU - Bursa, Turkey</v>
      </c>
      <c r="L6" s="53" t="str">
        <f>Export!P6</f>
        <v>Express</v>
      </c>
      <c r="M6" s="47" t="str">
        <f>Export!AA6</f>
        <v>FedEx</v>
      </c>
      <c r="N6" s="46" t="str">
        <f>Export!E6</f>
        <v xml:space="preserve">Oring - D17.5 / 1.5 </v>
      </c>
      <c r="O6" s="149" t="str">
        <f>Export!F6</f>
        <v>40169320</v>
      </c>
      <c r="P6" s="150"/>
      <c r="Q6" s="151"/>
      <c r="R6" s="152"/>
      <c r="S6" s="151"/>
      <c r="T6" s="153"/>
      <c r="U6" s="152"/>
      <c r="V6" s="151"/>
      <c r="W6" s="152"/>
      <c r="X6" s="152"/>
      <c r="Y6" s="152"/>
      <c r="Z6" s="152"/>
      <c r="AA6" s="154"/>
      <c r="AB6" s="151"/>
      <c r="AC6" s="153"/>
      <c r="AD6" s="155"/>
      <c r="AE6" s="151"/>
      <c r="AF6" s="153"/>
      <c r="AG6" s="154"/>
      <c r="AH6" s="156"/>
      <c r="AI6" s="157"/>
      <c r="AJ6" s="158"/>
      <c r="AK6" s="157"/>
      <c r="AL6" s="157"/>
      <c r="AM6" s="235"/>
      <c r="AN6" s="134"/>
    </row>
    <row r="7" spans="1:40" ht="41.25" customHeight="1" x14ac:dyDescent="0.25">
      <c r="A7" s="159">
        <f>Export!B7</f>
        <v>45314</v>
      </c>
      <c r="B7" s="160" t="str">
        <f>Export!C7</f>
        <v>BFGH</v>
      </c>
      <c r="C7" s="160" t="str">
        <f>Export!D7</f>
        <v>Italy</v>
      </c>
      <c r="D7" s="161" t="str">
        <f>Export!Q7</f>
        <v>22012024-01</v>
      </c>
      <c r="E7" s="162" t="str">
        <f>Export!S7</f>
        <v>306161176001</v>
      </c>
      <c r="F7" s="162" t="str">
        <f>Export!Z7</f>
        <v>5152240000</v>
      </c>
      <c r="G7" s="160" t="s">
        <v>92</v>
      </c>
      <c r="H7" s="163">
        <v>1340</v>
      </c>
      <c r="I7" s="164">
        <v>6.3</v>
      </c>
      <c r="J7" s="163">
        <v>1329</v>
      </c>
      <c r="K7" s="165" t="str">
        <f>Export!O7</f>
        <v>DAP - Bursa, Turkey</v>
      </c>
      <c r="L7" s="160" t="str">
        <f>Export!P7</f>
        <v>Air freight</v>
      </c>
      <c r="M7" s="166" t="str">
        <f>Export!AA7</f>
        <v>Karl Gross</v>
      </c>
      <c r="N7" s="167" t="str">
        <f>Export!E7</f>
        <v>Oring - D36 / 5</v>
      </c>
      <c r="O7" s="168" t="str">
        <f>Export!F7</f>
        <v>40169320</v>
      </c>
      <c r="P7" s="169">
        <v>9</v>
      </c>
      <c r="Q7" s="170">
        <v>39</v>
      </c>
      <c r="R7" s="171">
        <v>75</v>
      </c>
      <c r="S7" s="170"/>
      <c r="T7" s="172"/>
      <c r="U7" s="173"/>
      <c r="V7" s="174"/>
      <c r="W7" s="173"/>
      <c r="X7" s="173"/>
      <c r="Y7" s="173"/>
      <c r="Z7" s="173"/>
      <c r="AA7" s="175"/>
      <c r="AB7" s="176">
        <v>3.05</v>
      </c>
      <c r="AC7" s="177">
        <f>AB7*J7</f>
        <v>4053.45</v>
      </c>
      <c r="AD7" s="178">
        <v>100</v>
      </c>
      <c r="AE7" s="174"/>
      <c r="AF7" s="179"/>
      <c r="AG7" s="175">
        <f>380-AE7-AF7</f>
        <v>380</v>
      </c>
      <c r="AH7" s="180">
        <f>SUM(R7:AA7,AC7,AD7:AG7)</f>
        <v>4608.45</v>
      </c>
      <c r="AI7" s="181">
        <v>24770</v>
      </c>
      <c r="AJ7" s="182">
        <f>ROUNDUP(AH7*AI7,0)</f>
        <v>114151307</v>
      </c>
      <c r="AK7" s="181">
        <v>244030</v>
      </c>
      <c r="AL7" s="181">
        <v>20000</v>
      </c>
      <c r="AM7" s="181"/>
      <c r="AN7" s="134">
        <f>SUM(AJ7:AL7)</f>
        <v>114415337</v>
      </c>
    </row>
    <row r="8" spans="1:40" ht="31.5" customHeight="1" x14ac:dyDescent="0.25">
      <c r="A8" s="12"/>
      <c r="B8" s="20"/>
      <c r="C8" s="14"/>
      <c r="D8" s="121"/>
      <c r="E8" s="20"/>
      <c r="F8" s="20"/>
      <c r="G8" s="20"/>
      <c r="H8" s="122"/>
      <c r="I8" s="23"/>
      <c r="J8" s="122"/>
      <c r="K8" s="13"/>
      <c r="L8" s="20"/>
      <c r="M8" s="14"/>
      <c r="N8" s="183"/>
      <c r="O8" s="123"/>
      <c r="P8" s="124"/>
      <c r="Q8" s="125"/>
      <c r="R8" s="126" t="s">
        <v>93</v>
      </c>
      <c r="S8" s="125"/>
      <c r="T8" s="127"/>
      <c r="U8" s="126"/>
      <c r="V8" s="125"/>
      <c r="W8" s="126"/>
      <c r="X8" s="126"/>
      <c r="Y8" s="126"/>
      <c r="Z8" s="126"/>
      <c r="AA8" s="128"/>
      <c r="AB8" s="125"/>
      <c r="AC8" s="184"/>
      <c r="AD8" s="130"/>
      <c r="AE8" s="125"/>
      <c r="AF8" s="127"/>
      <c r="AG8" s="128"/>
      <c r="AH8" s="131"/>
      <c r="AI8" s="132"/>
      <c r="AJ8" s="133"/>
      <c r="AK8" s="132"/>
      <c r="AL8" s="132"/>
      <c r="AM8" s="376"/>
      <c r="AN8" s="134"/>
    </row>
    <row r="9" spans="1:40" ht="31.5" customHeight="1" x14ac:dyDescent="0.25">
      <c r="A9" s="29"/>
      <c r="B9" s="37"/>
      <c r="C9" s="31"/>
      <c r="D9" s="135"/>
      <c r="E9" s="37"/>
      <c r="F9" s="37"/>
      <c r="G9" s="37"/>
      <c r="H9" s="136"/>
      <c r="I9" s="40"/>
      <c r="J9" s="136"/>
      <c r="K9" s="30"/>
      <c r="L9" s="37"/>
      <c r="M9" s="31"/>
      <c r="N9" s="185"/>
      <c r="O9" s="137"/>
      <c r="P9" s="138"/>
      <c r="Q9" s="139"/>
      <c r="R9" s="140"/>
      <c r="S9" s="139"/>
      <c r="T9" s="141"/>
      <c r="U9" s="140"/>
      <c r="V9" s="139"/>
      <c r="W9" s="140"/>
      <c r="X9" s="140"/>
      <c r="Y9" s="140"/>
      <c r="Z9" s="140"/>
      <c r="AA9" s="142"/>
      <c r="AB9" s="139"/>
      <c r="AC9" s="141"/>
      <c r="AD9" s="143"/>
      <c r="AE9" s="139"/>
      <c r="AF9" s="141"/>
      <c r="AG9" s="142"/>
      <c r="AH9" s="144"/>
      <c r="AI9" s="145"/>
      <c r="AJ9" s="146"/>
      <c r="AK9" s="145"/>
      <c r="AL9" s="145"/>
      <c r="AM9" s="377"/>
      <c r="AN9" s="134"/>
    </row>
    <row r="10" spans="1:40" ht="31.5" customHeight="1" x14ac:dyDescent="0.25">
      <c r="A10" s="29"/>
      <c r="B10" s="37"/>
      <c r="C10" s="31"/>
      <c r="D10" s="135"/>
      <c r="E10" s="37"/>
      <c r="F10" s="37"/>
      <c r="G10" s="37"/>
      <c r="H10" s="136"/>
      <c r="I10" s="40"/>
      <c r="J10" s="136"/>
      <c r="K10" s="30"/>
      <c r="L10" s="37"/>
      <c r="M10" s="31"/>
      <c r="N10" s="185"/>
      <c r="O10" s="137"/>
      <c r="P10" s="138"/>
      <c r="Q10" s="139"/>
      <c r="R10" s="140"/>
      <c r="S10" s="139"/>
      <c r="T10" s="141"/>
      <c r="U10" s="140"/>
      <c r="V10" s="139"/>
      <c r="W10" s="140"/>
      <c r="X10" s="140"/>
      <c r="Y10" s="140"/>
      <c r="Z10" s="140"/>
      <c r="AA10" s="142"/>
      <c r="AB10" s="139"/>
      <c r="AC10" s="141"/>
      <c r="AD10" s="143"/>
      <c r="AE10" s="139"/>
      <c r="AF10" s="141"/>
      <c r="AG10" s="142"/>
      <c r="AH10" s="144"/>
      <c r="AI10" s="145"/>
      <c r="AJ10" s="146"/>
      <c r="AK10" s="145"/>
      <c r="AL10" s="145"/>
      <c r="AM10" s="377"/>
      <c r="AN10" s="134"/>
    </row>
    <row r="11" spans="1:40" ht="31.5" customHeight="1" x14ac:dyDescent="0.25">
      <c r="A11" s="45"/>
      <c r="B11" s="53"/>
      <c r="C11" s="47"/>
      <c r="D11" s="147"/>
      <c r="E11" s="53"/>
      <c r="F11" s="53"/>
      <c r="G11" s="53"/>
      <c r="H11" s="148"/>
      <c r="I11" s="56"/>
      <c r="J11" s="148"/>
      <c r="K11" s="46"/>
      <c r="L11" s="53"/>
      <c r="M11" s="47"/>
      <c r="N11" s="186"/>
      <c r="O11" s="149"/>
      <c r="P11" s="150"/>
      <c r="Q11" s="151"/>
      <c r="R11" s="152"/>
      <c r="S11" s="151"/>
      <c r="T11" s="153"/>
      <c r="U11" s="152"/>
      <c r="V11" s="151"/>
      <c r="W11" s="152"/>
      <c r="X11" s="152"/>
      <c r="Y11" s="152"/>
      <c r="Z11" s="152"/>
      <c r="AA11" s="154"/>
      <c r="AB11" s="151"/>
      <c r="AC11" s="153"/>
      <c r="AD11" s="155"/>
      <c r="AE11" s="151"/>
      <c r="AF11" s="153"/>
      <c r="AG11" s="154"/>
      <c r="AH11" s="187"/>
      <c r="AI11" s="157"/>
      <c r="AJ11" s="158"/>
      <c r="AK11" s="157"/>
      <c r="AL11" s="157"/>
      <c r="AM11" s="235"/>
      <c r="AN11" s="134"/>
    </row>
    <row r="12" spans="1:40" ht="12" customHeight="1" x14ac:dyDescent="0.25">
      <c r="A12" s="28"/>
      <c r="B12" s="95"/>
      <c r="C12" s="95"/>
      <c r="D12" s="96"/>
      <c r="E12" s="96"/>
      <c r="F12" s="95"/>
      <c r="G12" s="95"/>
      <c r="H12" s="28"/>
      <c r="I12" s="28"/>
      <c r="J12" s="28"/>
      <c r="K12" s="97"/>
      <c r="L12" s="98"/>
      <c r="M12" s="95"/>
      <c r="N12" s="98"/>
      <c r="O12" s="95"/>
      <c r="P12" s="95"/>
      <c r="Q12" s="28"/>
      <c r="R12" s="95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95"/>
      <c r="AD12" s="97"/>
      <c r="AE12" s="97"/>
      <c r="AF12" s="97"/>
      <c r="AG12" s="97"/>
      <c r="AH12" s="28"/>
      <c r="AI12" s="28"/>
      <c r="AJ12" s="28"/>
      <c r="AK12" s="28"/>
      <c r="AL12" s="28"/>
      <c r="AM12" s="28"/>
      <c r="AN12" s="28"/>
    </row>
    <row r="13" spans="1:40" ht="21.75" customHeight="1" x14ac:dyDescent="0.25">
      <c r="A13" s="28"/>
      <c r="B13" s="95"/>
      <c r="C13" s="95"/>
      <c r="D13" s="96"/>
      <c r="E13" s="96"/>
      <c r="F13" s="95"/>
      <c r="G13" s="95"/>
      <c r="H13" s="28"/>
      <c r="I13" s="28"/>
      <c r="J13" s="28"/>
      <c r="K13" s="97"/>
      <c r="L13" s="98"/>
      <c r="M13" s="95"/>
      <c r="N13" s="98"/>
      <c r="O13" s="95"/>
      <c r="P13" s="95"/>
      <c r="Q13" s="28"/>
      <c r="R13" s="95"/>
      <c r="S13" s="28"/>
      <c r="T13" s="28"/>
      <c r="U13" s="28"/>
      <c r="V13" s="28">
        <f>9*I13</f>
        <v>0</v>
      </c>
      <c r="W13" s="28"/>
      <c r="X13" s="28">
        <v>10</v>
      </c>
      <c r="Y13" s="28">
        <v>30</v>
      </c>
      <c r="Z13" s="28"/>
      <c r="AA13" s="28"/>
      <c r="AB13" s="28">
        <v>20</v>
      </c>
      <c r="AC13" s="95"/>
      <c r="AD13" s="97"/>
      <c r="AE13" s="97"/>
      <c r="AF13" s="97"/>
      <c r="AG13" s="97"/>
      <c r="AH13" s="188">
        <f>SUM(AH4:AH12)</f>
        <v>4608.45</v>
      </c>
      <c r="AI13" s="28"/>
      <c r="AJ13" s="188">
        <f t="shared" ref="AJ13:AK13" si="0">SUM(AJ4:AJ12)</f>
        <v>117583407</v>
      </c>
      <c r="AK13" s="188">
        <f t="shared" si="0"/>
        <v>518598</v>
      </c>
      <c r="AL13" s="188"/>
      <c r="AM13" s="188"/>
      <c r="AN13" s="188">
        <f>SUM(AN4:AN12)</f>
        <v>118142005</v>
      </c>
    </row>
    <row r="14" spans="1:40" ht="12" customHeight="1" x14ac:dyDescent="0.25">
      <c r="A14" s="28"/>
      <c r="B14" s="95"/>
      <c r="C14" s="95"/>
      <c r="D14" s="96"/>
      <c r="E14" s="96"/>
      <c r="F14" s="95"/>
      <c r="G14" s="95"/>
      <c r="H14" s="28"/>
      <c r="I14" s="28"/>
      <c r="J14" s="28"/>
      <c r="K14" s="97"/>
      <c r="L14" s="98"/>
      <c r="M14" s="95"/>
      <c r="N14" s="98"/>
      <c r="O14" s="95"/>
      <c r="P14" s="95"/>
      <c r="Q14" s="28"/>
      <c r="R14" s="95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95"/>
      <c r="AD14" s="97"/>
      <c r="AE14" s="97"/>
      <c r="AF14" s="97"/>
      <c r="AG14" s="97"/>
      <c r="AH14" s="28"/>
      <c r="AI14" s="28"/>
      <c r="AJ14" s="28"/>
      <c r="AK14" s="28"/>
      <c r="AL14" s="28"/>
      <c r="AM14" s="28"/>
      <c r="AN14" s="28"/>
    </row>
    <row r="15" spans="1:40" ht="12" customHeight="1" x14ac:dyDescent="0.25">
      <c r="A15" s="28"/>
      <c r="B15" s="95"/>
      <c r="C15" s="95"/>
      <c r="D15" s="96"/>
      <c r="E15" s="96"/>
      <c r="F15" s="95"/>
      <c r="G15" s="95"/>
      <c r="H15" s="28"/>
      <c r="I15" s="28"/>
      <c r="J15" s="28"/>
      <c r="K15" s="97"/>
      <c r="L15" s="98"/>
      <c r="M15" s="95"/>
      <c r="N15" s="98"/>
      <c r="O15" s="95"/>
      <c r="P15" s="95"/>
      <c r="Q15" s="28"/>
      <c r="R15" s="95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95"/>
      <c r="AD15" s="97"/>
      <c r="AE15" s="97"/>
      <c r="AF15" s="97"/>
      <c r="AG15" s="97"/>
      <c r="AH15" s="28"/>
      <c r="AI15" s="28"/>
      <c r="AJ15" s="28"/>
      <c r="AK15" s="28"/>
      <c r="AL15" s="28"/>
      <c r="AM15" s="28"/>
      <c r="AN15" s="28"/>
    </row>
    <row r="16" spans="1:40" ht="12" customHeight="1" x14ac:dyDescent="0.25">
      <c r="A16" s="28"/>
      <c r="B16" s="95"/>
      <c r="C16" s="95"/>
      <c r="D16" s="96"/>
      <c r="E16" s="96"/>
      <c r="F16" s="95"/>
      <c r="G16" s="95"/>
      <c r="H16" s="28"/>
      <c r="I16" s="28"/>
      <c r="J16" s="28"/>
      <c r="K16" s="97"/>
      <c r="L16" s="98"/>
      <c r="M16" s="95"/>
      <c r="N16" s="98"/>
      <c r="O16" s="95"/>
      <c r="P16" s="95"/>
      <c r="Q16" s="28"/>
      <c r="R16" s="95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95"/>
      <c r="AD16" s="97"/>
      <c r="AE16" s="97"/>
      <c r="AF16" s="97"/>
      <c r="AG16" s="97"/>
      <c r="AH16" s="28"/>
      <c r="AI16" s="28"/>
      <c r="AJ16" s="28"/>
      <c r="AK16" s="28"/>
      <c r="AL16" s="28"/>
      <c r="AM16" s="28"/>
      <c r="AN16" s="28"/>
    </row>
    <row r="17" spans="1:40" ht="12" customHeight="1" x14ac:dyDescent="0.25">
      <c r="A17" s="28"/>
      <c r="B17" s="95"/>
      <c r="C17" s="95"/>
      <c r="D17" s="96"/>
      <c r="E17" s="96"/>
      <c r="F17" s="95"/>
      <c r="G17" s="95"/>
      <c r="H17" s="28"/>
      <c r="I17" s="28"/>
      <c r="J17" s="28"/>
      <c r="K17" s="97"/>
      <c r="L17" s="98"/>
      <c r="M17" s="95"/>
      <c r="N17" s="98"/>
      <c r="O17" s="95"/>
      <c r="P17" s="95"/>
      <c r="Q17" s="28"/>
      <c r="R17" s="95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95"/>
      <c r="AD17" s="97"/>
      <c r="AE17" s="97"/>
      <c r="AF17" s="97"/>
      <c r="AG17" s="97"/>
      <c r="AH17" s="28"/>
      <c r="AI17" s="28"/>
      <c r="AJ17" s="28"/>
      <c r="AK17" s="28"/>
      <c r="AL17" s="28"/>
      <c r="AM17" s="28"/>
      <c r="AN17" s="28"/>
    </row>
    <row r="18" spans="1:40" ht="28.5" customHeight="1" x14ac:dyDescent="0.25">
      <c r="A18" s="28"/>
      <c r="B18" s="95"/>
      <c r="C18" s="95"/>
      <c r="D18" s="96"/>
      <c r="E18" s="96"/>
      <c r="F18" s="95"/>
      <c r="G18" s="95"/>
      <c r="H18" s="28"/>
      <c r="I18" s="28"/>
      <c r="J18" s="28"/>
      <c r="K18" s="97"/>
      <c r="L18" s="98"/>
      <c r="M18" s="95"/>
      <c r="N18" s="98"/>
      <c r="O18" s="95"/>
      <c r="P18" s="95"/>
      <c r="Q18" s="28"/>
      <c r="R18" s="95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95"/>
      <c r="AD18" s="97"/>
      <c r="AE18" s="97"/>
      <c r="AF18" s="97"/>
      <c r="AG18" s="97"/>
      <c r="AH18" s="28"/>
      <c r="AI18" s="28"/>
      <c r="AJ18" s="28"/>
      <c r="AK18" s="28"/>
      <c r="AL18" s="28"/>
      <c r="AM18" s="28"/>
      <c r="AN18" s="28"/>
    </row>
    <row r="19" spans="1:40" ht="28.5" customHeight="1" x14ac:dyDescent="0.25">
      <c r="A19" s="28"/>
      <c r="B19" s="95"/>
      <c r="C19" s="95"/>
      <c r="D19" s="96"/>
      <c r="E19" s="96"/>
      <c r="F19" s="95"/>
      <c r="G19" s="95"/>
      <c r="H19" s="28"/>
      <c r="I19" s="28"/>
      <c r="J19" s="28"/>
      <c r="K19" s="97"/>
      <c r="L19" s="98"/>
      <c r="M19" s="95"/>
      <c r="N19" s="98"/>
      <c r="O19" s="95"/>
      <c r="P19" s="95"/>
      <c r="Q19" s="28"/>
      <c r="R19" s="95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95"/>
      <c r="AD19" s="97"/>
      <c r="AE19" s="97"/>
      <c r="AF19" s="97"/>
      <c r="AG19" s="97"/>
      <c r="AH19" s="28"/>
      <c r="AI19" s="28"/>
      <c r="AJ19" s="28"/>
      <c r="AK19" s="28"/>
      <c r="AL19" s="28"/>
      <c r="AM19" s="28"/>
      <c r="AN19" s="28"/>
    </row>
    <row r="20" spans="1:40" ht="28.5" customHeight="1" x14ac:dyDescent="0.25">
      <c r="A20" s="28"/>
      <c r="B20" s="95"/>
      <c r="C20" s="95"/>
      <c r="D20" s="96"/>
      <c r="E20" s="96"/>
      <c r="F20" s="95"/>
      <c r="G20" s="95"/>
      <c r="H20" s="28"/>
      <c r="I20" s="28"/>
      <c r="J20" s="28"/>
      <c r="K20" s="97"/>
      <c r="L20" s="98"/>
      <c r="M20" s="95"/>
      <c r="N20" s="98"/>
      <c r="O20" s="95"/>
      <c r="P20" s="95"/>
      <c r="Q20" s="28"/>
      <c r="R20" s="95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95"/>
      <c r="AD20" s="97"/>
      <c r="AE20" s="97"/>
      <c r="AF20" s="97"/>
      <c r="AG20" s="97"/>
      <c r="AH20" s="28"/>
      <c r="AI20" s="28"/>
      <c r="AJ20" s="28"/>
      <c r="AK20" s="28"/>
      <c r="AL20" s="28"/>
      <c r="AM20" s="28"/>
      <c r="AN20" s="28"/>
    </row>
    <row r="21" spans="1:40" ht="28.5" customHeight="1" x14ac:dyDescent="0.25">
      <c r="A21" s="28"/>
      <c r="B21" s="95"/>
      <c r="C21" s="95"/>
      <c r="D21" s="96"/>
      <c r="E21" s="96"/>
      <c r="F21" s="95"/>
      <c r="G21" s="95"/>
      <c r="H21" s="28"/>
      <c r="I21" s="28"/>
      <c r="J21" s="28"/>
      <c r="K21" s="97"/>
      <c r="L21" s="98"/>
      <c r="M21" s="95"/>
      <c r="N21" s="98"/>
      <c r="O21" s="95"/>
      <c r="P21" s="95"/>
      <c r="Q21" s="28"/>
      <c r="R21" s="95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95"/>
      <c r="AD21" s="97"/>
      <c r="AE21" s="97"/>
      <c r="AF21" s="97"/>
      <c r="AG21" s="97"/>
      <c r="AH21" s="28"/>
      <c r="AI21" s="28"/>
      <c r="AJ21" s="28"/>
      <c r="AK21" s="28"/>
      <c r="AL21" s="28"/>
      <c r="AM21" s="28"/>
      <c r="AN21" s="28"/>
    </row>
    <row r="22" spans="1:40" ht="28.5" customHeight="1" x14ac:dyDescent="0.25">
      <c r="A22" s="28"/>
      <c r="B22" s="95"/>
      <c r="C22" s="95"/>
      <c r="D22" s="96"/>
      <c r="E22" s="96"/>
      <c r="F22" s="95"/>
      <c r="G22" s="95"/>
      <c r="H22" s="28"/>
      <c r="I22" s="28"/>
      <c r="J22" s="28"/>
      <c r="K22" s="97"/>
      <c r="L22" s="98"/>
      <c r="M22" s="95"/>
      <c r="N22" s="98"/>
      <c r="O22" s="95"/>
      <c r="P22" s="95"/>
      <c r="Q22" s="28"/>
      <c r="R22" s="9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95"/>
      <c r="AD22" s="97"/>
      <c r="AE22" s="97"/>
      <c r="AF22" s="97"/>
      <c r="AG22" s="97"/>
      <c r="AH22" s="28"/>
      <c r="AI22" s="28"/>
      <c r="AJ22" s="28"/>
      <c r="AK22" s="28"/>
      <c r="AL22" s="28"/>
      <c r="AM22" s="28"/>
      <c r="AN22" s="28"/>
    </row>
    <row r="23" spans="1:40" ht="28.5" customHeight="1" x14ac:dyDescent="0.25">
      <c r="A23" s="28"/>
      <c r="B23" s="95"/>
      <c r="C23" s="95"/>
      <c r="D23" s="96"/>
      <c r="E23" s="96"/>
      <c r="F23" s="95"/>
      <c r="G23" s="95"/>
      <c r="H23" s="28"/>
      <c r="I23" s="28"/>
      <c r="J23" s="28"/>
      <c r="K23" s="97"/>
      <c r="L23" s="98"/>
      <c r="M23" s="95"/>
      <c r="N23" s="98"/>
      <c r="O23" s="95"/>
      <c r="P23" s="95"/>
      <c r="Q23" s="28"/>
      <c r="R23" s="95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95"/>
      <c r="AD23" s="97"/>
      <c r="AE23" s="97"/>
      <c r="AF23" s="97"/>
      <c r="AG23" s="97"/>
      <c r="AH23" s="28"/>
      <c r="AI23" s="28"/>
      <c r="AJ23" s="28"/>
      <c r="AK23" s="28"/>
      <c r="AL23" s="28"/>
      <c r="AM23" s="28"/>
      <c r="AN23" s="28"/>
    </row>
    <row r="24" spans="1:40" ht="28.5" customHeight="1" x14ac:dyDescent="0.25">
      <c r="A24" s="28"/>
      <c r="B24" s="95"/>
      <c r="C24" s="95"/>
      <c r="D24" s="96"/>
      <c r="E24" s="96"/>
      <c r="F24" s="95"/>
      <c r="G24" s="95"/>
      <c r="H24" s="28"/>
      <c r="I24" s="28"/>
      <c r="J24" s="28"/>
      <c r="K24" s="97"/>
      <c r="L24" s="98"/>
      <c r="M24" s="95"/>
      <c r="N24" s="98"/>
      <c r="O24" s="95"/>
      <c r="P24" s="95"/>
      <c r="Q24" s="28"/>
      <c r="R24" s="95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95"/>
      <c r="AD24" s="97"/>
      <c r="AE24" s="97"/>
      <c r="AF24" s="97"/>
      <c r="AG24" s="97"/>
      <c r="AH24" s="28"/>
      <c r="AI24" s="28"/>
      <c r="AJ24" s="28"/>
      <c r="AK24" s="28"/>
      <c r="AL24" s="28"/>
      <c r="AM24" s="28"/>
      <c r="AN24" s="28"/>
    </row>
    <row r="25" spans="1:40" ht="12" customHeight="1" x14ac:dyDescent="0.25">
      <c r="A25" s="28"/>
      <c r="B25" s="95"/>
      <c r="C25" s="95"/>
      <c r="D25" s="96"/>
      <c r="E25" s="96"/>
      <c r="F25" s="95"/>
      <c r="G25" s="95"/>
      <c r="H25" s="28"/>
      <c r="I25" s="28"/>
      <c r="J25" s="28"/>
      <c r="K25" s="97"/>
      <c r="L25" s="98"/>
      <c r="M25" s="95"/>
      <c r="N25" s="98"/>
      <c r="O25" s="95"/>
      <c r="P25" s="95"/>
      <c r="Q25" s="28"/>
      <c r="R25" s="95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95"/>
      <c r="AD25" s="97"/>
      <c r="AE25" s="97"/>
      <c r="AF25" s="97"/>
      <c r="AG25" s="97"/>
      <c r="AH25" s="28"/>
      <c r="AI25" s="28"/>
      <c r="AJ25" s="28"/>
      <c r="AK25" s="28"/>
      <c r="AL25" s="28"/>
      <c r="AM25" s="28"/>
      <c r="AN25" s="28"/>
    </row>
    <row r="26" spans="1:40" ht="12" customHeight="1" x14ac:dyDescent="0.25">
      <c r="A26" s="28"/>
      <c r="B26" s="95"/>
      <c r="C26" s="95"/>
      <c r="D26" s="96"/>
      <c r="E26" s="96"/>
      <c r="F26" s="95"/>
      <c r="G26" s="95"/>
      <c r="H26" s="28"/>
      <c r="I26" s="28"/>
      <c r="J26" s="28"/>
      <c r="K26" s="97"/>
      <c r="L26" s="98"/>
      <c r="M26" s="95"/>
      <c r="N26" s="98"/>
      <c r="O26" s="95"/>
      <c r="P26" s="95"/>
      <c r="Q26" s="28"/>
      <c r="R26" s="95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95"/>
      <c r="AD26" s="97"/>
      <c r="AE26" s="97"/>
      <c r="AF26" s="97"/>
      <c r="AG26" s="97"/>
      <c r="AH26" s="28"/>
      <c r="AI26" s="28"/>
      <c r="AJ26" s="28"/>
      <c r="AK26" s="28"/>
      <c r="AL26" s="28"/>
      <c r="AM26" s="28"/>
      <c r="AN26" s="28"/>
    </row>
    <row r="27" spans="1:40" ht="12" customHeight="1" x14ac:dyDescent="0.25">
      <c r="A27" s="28"/>
      <c r="B27" s="95"/>
      <c r="C27" s="95"/>
      <c r="D27" s="96"/>
      <c r="E27" s="96"/>
      <c r="F27" s="95"/>
      <c r="G27" s="95"/>
      <c r="H27" s="28"/>
      <c r="I27" s="28"/>
      <c r="J27" s="28"/>
      <c r="K27" s="97"/>
      <c r="L27" s="98"/>
      <c r="M27" s="95"/>
      <c r="N27" s="98"/>
      <c r="O27" s="95"/>
      <c r="P27" s="95"/>
      <c r="Q27" s="28"/>
      <c r="R27" s="95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95"/>
      <c r="AD27" s="97"/>
      <c r="AE27" s="97"/>
      <c r="AF27" s="97"/>
      <c r="AG27" s="97"/>
      <c r="AH27" s="28"/>
      <c r="AI27" s="28"/>
      <c r="AJ27" s="28"/>
      <c r="AK27" s="28"/>
      <c r="AL27" s="28"/>
      <c r="AM27" s="28"/>
      <c r="AN27" s="28"/>
    </row>
    <row r="28" spans="1:40" ht="12" customHeight="1" x14ac:dyDescent="0.25">
      <c r="A28" s="28"/>
      <c r="B28" s="95"/>
      <c r="C28" s="95"/>
      <c r="D28" s="96"/>
      <c r="E28" s="96"/>
      <c r="F28" s="95"/>
      <c r="G28" s="95"/>
      <c r="H28" s="28"/>
      <c r="I28" s="28"/>
      <c r="J28" s="28"/>
      <c r="K28" s="97"/>
      <c r="L28" s="98"/>
      <c r="M28" s="95"/>
      <c r="N28" s="98"/>
      <c r="O28" s="95"/>
      <c r="P28" s="95"/>
      <c r="Q28" s="28"/>
      <c r="R28" s="95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95"/>
      <c r="AD28" s="97"/>
      <c r="AE28" s="97"/>
      <c r="AF28" s="97"/>
      <c r="AG28" s="97"/>
      <c r="AH28" s="28"/>
      <c r="AI28" s="28"/>
      <c r="AJ28" s="28"/>
      <c r="AK28" s="28"/>
      <c r="AL28" s="28"/>
      <c r="AM28" s="28"/>
      <c r="AN28" s="28"/>
    </row>
    <row r="29" spans="1:40" ht="12" customHeight="1" x14ac:dyDescent="0.25">
      <c r="A29" s="28"/>
      <c r="B29" s="95"/>
      <c r="C29" s="95"/>
      <c r="D29" s="96"/>
      <c r="E29" s="96"/>
      <c r="F29" s="95"/>
      <c r="G29" s="95"/>
      <c r="H29" s="28"/>
      <c r="I29" s="28"/>
      <c r="J29" s="28"/>
      <c r="K29" s="97"/>
      <c r="L29" s="98"/>
      <c r="M29" s="95"/>
      <c r="N29" s="98"/>
      <c r="O29" s="95"/>
      <c r="P29" s="95"/>
      <c r="Q29" s="28"/>
      <c r="R29" s="95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95"/>
      <c r="AD29" s="97"/>
      <c r="AE29" s="97"/>
      <c r="AF29" s="97"/>
      <c r="AG29" s="97"/>
      <c r="AH29" s="28"/>
      <c r="AI29" s="28"/>
      <c r="AJ29" s="28"/>
      <c r="AK29" s="28"/>
      <c r="AL29" s="28"/>
      <c r="AM29" s="28"/>
      <c r="AN29" s="28"/>
    </row>
    <row r="30" spans="1:40" ht="12" customHeight="1" x14ac:dyDescent="0.25">
      <c r="A30" s="28"/>
      <c r="B30" s="95"/>
      <c r="C30" s="95"/>
      <c r="D30" s="96"/>
      <c r="E30" s="96"/>
      <c r="F30" s="95"/>
      <c r="G30" s="95"/>
      <c r="H30" s="28"/>
      <c r="I30" s="28"/>
      <c r="J30" s="28"/>
      <c r="K30" s="97"/>
      <c r="L30" s="98"/>
      <c r="M30" s="95"/>
      <c r="N30" s="98"/>
      <c r="O30" s="95"/>
      <c r="P30" s="95"/>
      <c r="Q30" s="28"/>
      <c r="R30" s="95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95"/>
      <c r="AD30" s="97"/>
      <c r="AE30" s="97"/>
      <c r="AF30" s="97"/>
      <c r="AG30" s="97"/>
      <c r="AH30" s="28"/>
      <c r="AI30" s="28"/>
      <c r="AJ30" s="28"/>
      <c r="AK30" s="28"/>
      <c r="AL30" s="28"/>
      <c r="AM30" s="28"/>
      <c r="AN30" s="28"/>
    </row>
    <row r="31" spans="1:40" ht="12" customHeight="1" x14ac:dyDescent="0.25">
      <c r="A31" s="28"/>
      <c r="B31" s="95"/>
      <c r="C31" s="95"/>
      <c r="D31" s="96"/>
      <c r="E31" s="96"/>
      <c r="F31" s="95"/>
      <c r="G31" s="95"/>
      <c r="H31" s="28"/>
      <c r="I31" s="28"/>
      <c r="J31" s="28"/>
      <c r="K31" s="97"/>
      <c r="L31" s="98"/>
      <c r="M31" s="95"/>
      <c r="N31" s="98"/>
      <c r="O31" s="95"/>
      <c r="P31" s="95"/>
      <c r="Q31" s="28"/>
      <c r="R31" s="95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95"/>
      <c r="AD31" s="97"/>
      <c r="AE31" s="97"/>
      <c r="AF31" s="97"/>
      <c r="AG31" s="97"/>
      <c r="AH31" s="28"/>
      <c r="AI31" s="28"/>
      <c r="AJ31" s="28"/>
      <c r="AK31" s="28"/>
      <c r="AL31" s="28"/>
      <c r="AM31" s="28"/>
      <c r="AN31" s="28"/>
    </row>
    <row r="32" spans="1:40" ht="12" customHeight="1" x14ac:dyDescent="0.25">
      <c r="A32" s="28"/>
      <c r="B32" s="95"/>
      <c r="C32" s="95"/>
      <c r="D32" s="96"/>
      <c r="E32" s="96"/>
      <c r="F32" s="95"/>
      <c r="G32" s="95"/>
      <c r="H32" s="28"/>
      <c r="I32" s="28"/>
      <c r="J32" s="28"/>
      <c r="K32" s="97"/>
      <c r="L32" s="98"/>
      <c r="M32" s="95"/>
      <c r="N32" s="98"/>
      <c r="O32" s="95"/>
      <c r="P32" s="95"/>
      <c r="Q32" s="28"/>
      <c r="R32" s="95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95"/>
      <c r="AD32" s="97"/>
      <c r="AE32" s="97"/>
      <c r="AF32" s="97"/>
      <c r="AG32" s="97"/>
      <c r="AH32" s="28"/>
      <c r="AI32" s="28"/>
      <c r="AJ32" s="28"/>
      <c r="AK32" s="28"/>
      <c r="AL32" s="28"/>
      <c r="AM32" s="28"/>
      <c r="AN32" s="28"/>
    </row>
    <row r="33" spans="1:40" ht="12" customHeight="1" x14ac:dyDescent="0.25">
      <c r="A33" s="28"/>
      <c r="B33" s="95"/>
      <c r="C33" s="95"/>
      <c r="D33" s="96"/>
      <c r="E33" s="96"/>
      <c r="F33" s="95"/>
      <c r="G33" s="95"/>
      <c r="H33" s="28"/>
      <c r="I33" s="28"/>
      <c r="J33" s="28"/>
      <c r="K33" s="97"/>
      <c r="L33" s="98"/>
      <c r="M33" s="95"/>
      <c r="N33" s="98"/>
      <c r="O33" s="95"/>
      <c r="P33" s="95"/>
      <c r="Q33" s="28"/>
      <c r="R33" s="95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95"/>
      <c r="AD33" s="97"/>
      <c r="AE33" s="97"/>
      <c r="AF33" s="97"/>
      <c r="AG33" s="97"/>
      <c r="AH33" s="28"/>
      <c r="AI33" s="28"/>
      <c r="AJ33" s="28"/>
      <c r="AK33" s="28"/>
      <c r="AL33" s="28"/>
      <c r="AM33" s="28"/>
      <c r="AN33" s="28"/>
    </row>
    <row r="34" spans="1:40" ht="12" customHeight="1" x14ac:dyDescent="0.25">
      <c r="A34" s="28"/>
      <c r="B34" s="95"/>
      <c r="C34" s="95"/>
      <c r="D34" s="96"/>
      <c r="E34" s="96"/>
      <c r="F34" s="95"/>
      <c r="G34" s="95"/>
      <c r="H34" s="28"/>
      <c r="I34" s="28"/>
      <c r="J34" s="28"/>
      <c r="K34" s="97"/>
      <c r="L34" s="98"/>
      <c r="M34" s="95"/>
      <c r="N34" s="98"/>
      <c r="O34" s="95"/>
      <c r="P34" s="95"/>
      <c r="Q34" s="28"/>
      <c r="R34" s="95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95"/>
      <c r="AD34" s="97"/>
      <c r="AE34" s="97"/>
      <c r="AF34" s="97"/>
      <c r="AG34" s="97"/>
      <c r="AH34" s="28"/>
      <c r="AI34" s="28"/>
      <c r="AJ34" s="28"/>
      <c r="AK34" s="28"/>
      <c r="AL34" s="28"/>
      <c r="AM34" s="28"/>
      <c r="AN34" s="28"/>
    </row>
    <row r="35" spans="1:40" ht="12" customHeight="1" x14ac:dyDescent="0.25">
      <c r="A35" s="28"/>
      <c r="B35" s="95"/>
      <c r="C35" s="95"/>
      <c r="D35" s="96"/>
      <c r="E35" s="96"/>
      <c r="F35" s="95"/>
      <c r="G35" s="95"/>
      <c r="H35" s="28"/>
      <c r="I35" s="28"/>
      <c r="J35" s="28"/>
      <c r="K35" s="97"/>
      <c r="L35" s="98"/>
      <c r="M35" s="95"/>
      <c r="N35" s="98"/>
      <c r="O35" s="95"/>
      <c r="P35" s="95"/>
      <c r="Q35" s="28"/>
      <c r="R35" s="95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95"/>
      <c r="AD35" s="97"/>
      <c r="AE35" s="97"/>
      <c r="AF35" s="97"/>
      <c r="AG35" s="97"/>
      <c r="AH35" s="28"/>
      <c r="AI35" s="28"/>
      <c r="AJ35" s="28"/>
      <c r="AK35" s="28"/>
      <c r="AL35" s="28"/>
      <c r="AM35" s="28"/>
      <c r="AN35" s="28"/>
    </row>
    <row r="36" spans="1:40" ht="12" customHeight="1" x14ac:dyDescent="0.25">
      <c r="A36" s="28"/>
      <c r="B36" s="95"/>
      <c r="C36" s="95"/>
      <c r="D36" s="96"/>
      <c r="E36" s="96"/>
      <c r="F36" s="95"/>
      <c r="G36" s="95"/>
      <c r="H36" s="28"/>
      <c r="I36" s="28"/>
      <c r="J36" s="28"/>
      <c r="K36" s="97"/>
      <c r="L36" s="98"/>
      <c r="M36" s="95"/>
      <c r="N36" s="98"/>
      <c r="O36" s="95"/>
      <c r="P36" s="95"/>
      <c r="Q36" s="28"/>
      <c r="R36" s="95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95"/>
      <c r="AD36" s="97"/>
      <c r="AE36" s="97"/>
      <c r="AF36" s="97"/>
      <c r="AG36" s="97"/>
      <c r="AH36" s="28"/>
      <c r="AI36" s="28"/>
      <c r="AJ36" s="28"/>
      <c r="AK36" s="28"/>
      <c r="AL36" s="28"/>
      <c r="AM36" s="28"/>
      <c r="AN36" s="28"/>
    </row>
    <row r="37" spans="1:40" ht="12" customHeight="1" x14ac:dyDescent="0.25">
      <c r="A37" s="28"/>
      <c r="B37" s="95"/>
      <c r="C37" s="95"/>
      <c r="D37" s="96"/>
      <c r="E37" s="96"/>
      <c r="F37" s="95"/>
      <c r="G37" s="95"/>
      <c r="H37" s="28"/>
      <c r="I37" s="28"/>
      <c r="J37" s="28"/>
      <c r="K37" s="97"/>
      <c r="L37" s="98"/>
      <c r="M37" s="95"/>
      <c r="N37" s="98"/>
      <c r="O37" s="95"/>
      <c r="P37" s="95"/>
      <c r="Q37" s="28"/>
      <c r="R37" s="95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95"/>
      <c r="AD37" s="97"/>
      <c r="AE37" s="97"/>
      <c r="AF37" s="97"/>
      <c r="AG37" s="97"/>
      <c r="AH37" s="28"/>
      <c r="AI37" s="28"/>
      <c r="AJ37" s="28"/>
      <c r="AK37" s="28"/>
      <c r="AL37" s="28"/>
      <c r="AM37" s="28"/>
      <c r="AN37" s="28"/>
    </row>
    <row r="38" spans="1:40" ht="12" customHeight="1" x14ac:dyDescent="0.25">
      <c r="A38" s="28"/>
      <c r="B38" s="95"/>
      <c r="C38" s="95"/>
      <c r="D38" s="96"/>
      <c r="E38" s="96"/>
      <c r="F38" s="95"/>
      <c r="G38" s="95"/>
      <c r="H38" s="28"/>
      <c r="I38" s="28"/>
      <c r="J38" s="28"/>
      <c r="K38" s="97"/>
      <c r="L38" s="98"/>
      <c r="M38" s="95"/>
      <c r="N38" s="98"/>
      <c r="O38" s="95"/>
      <c r="P38" s="95"/>
      <c r="Q38" s="28"/>
      <c r="R38" s="95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95"/>
      <c r="AD38" s="97"/>
      <c r="AE38" s="97"/>
      <c r="AF38" s="97"/>
      <c r="AG38" s="97"/>
      <c r="AH38" s="28"/>
      <c r="AI38" s="28"/>
      <c r="AJ38" s="28"/>
      <c r="AK38" s="28"/>
      <c r="AL38" s="28"/>
      <c r="AM38" s="28"/>
      <c r="AN38" s="28"/>
    </row>
    <row r="39" spans="1:40" ht="12" customHeight="1" x14ac:dyDescent="0.25">
      <c r="A39" s="28"/>
      <c r="B39" s="95"/>
      <c r="C39" s="95"/>
      <c r="D39" s="96"/>
      <c r="E39" s="96"/>
      <c r="F39" s="95"/>
      <c r="G39" s="95"/>
      <c r="H39" s="28"/>
      <c r="I39" s="28"/>
      <c r="J39" s="28"/>
      <c r="K39" s="97"/>
      <c r="L39" s="98"/>
      <c r="M39" s="95"/>
      <c r="N39" s="98"/>
      <c r="O39" s="95"/>
      <c r="P39" s="95"/>
      <c r="Q39" s="28"/>
      <c r="R39" s="95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95"/>
      <c r="AD39" s="97"/>
      <c r="AE39" s="97"/>
      <c r="AF39" s="97"/>
      <c r="AG39" s="97"/>
      <c r="AH39" s="28"/>
      <c r="AI39" s="28"/>
      <c r="AJ39" s="28"/>
      <c r="AK39" s="28"/>
      <c r="AL39" s="28"/>
      <c r="AM39" s="28"/>
      <c r="AN39" s="28"/>
    </row>
    <row r="40" spans="1:40" ht="12" customHeight="1" x14ac:dyDescent="0.25">
      <c r="A40" s="28"/>
      <c r="B40" s="95"/>
      <c r="C40" s="95"/>
      <c r="D40" s="96"/>
      <c r="E40" s="96"/>
      <c r="F40" s="95"/>
      <c r="G40" s="95"/>
      <c r="H40" s="28"/>
      <c r="I40" s="28"/>
      <c r="J40" s="28"/>
      <c r="K40" s="97"/>
      <c r="L40" s="98"/>
      <c r="M40" s="95"/>
      <c r="N40" s="98"/>
      <c r="O40" s="95"/>
      <c r="P40" s="95"/>
      <c r="Q40" s="28"/>
      <c r="R40" s="95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95"/>
      <c r="AD40" s="97"/>
      <c r="AE40" s="97"/>
      <c r="AF40" s="97"/>
      <c r="AG40" s="97"/>
      <c r="AH40" s="28"/>
      <c r="AI40" s="28"/>
      <c r="AJ40" s="28"/>
      <c r="AK40" s="28"/>
      <c r="AL40" s="28"/>
      <c r="AM40" s="28"/>
      <c r="AN40" s="28"/>
    </row>
    <row r="41" spans="1:40" ht="12" customHeight="1" x14ac:dyDescent="0.25">
      <c r="A41" s="28"/>
      <c r="B41" s="95"/>
      <c r="C41" s="95"/>
      <c r="D41" s="96"/>
      <c r="E41" s="96"/>
      <c r="F41" s="95"/>
      <c r="G41" s="95"/>
      <c r="H41" s="28"/>
      <c r="I41" s="28"/>
      <c r="J41" s="28"/>
      <c r="K41" s="97"/>
      <c r="L41" s="98"/>
      <c r="M41" s="95"/>
      <c r="N41" s="98"/>
      <c r="O41" s="95"/>
      <c r="P41" s="95"/>
      <c r="Q41" s="28"/>
      <c r="R41" s="95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95"/>
      <c r="AD41" s="97"/>
      <c r="AE41" s="97"/>
      <c r="AF41" s="97"/>
      <c r="AG41" s="97"/>
      <c r="AH41" s="28"/>
      <c r="AI41" s="28"/>
      <c r="AJ41" s="28"/>
      <c r="AK41" s="28"/>
      <c r="AL41" s="28"/>
      <c r="AM41" s="28"/>
      <c r="AN41" s="28"/>
    </row>
    <row r="42" spans="1:40" ht="12" customHeight="1" x14ac:dyDescent="0.25">
      <c r="A42" s="28"/>
      <c r="B42" s="95"/>
      <c r="C42" s="95"/>
      <c r="D42" s="96"/>
      <c r="E42" s="96"/>
      <c r="F42" s="95"/>
      <c r="G42" s="95"/>
      <c r="H42" s="28"/>
      <c r="I42" s="28"/>
      <c r="J42" s="28"/>
      <c r="K42" s="97"/>
      <c r="L42" s="98"/>
      <c r="M42" s="95"/>
      <c r="N42" s="98"/>
      <c r="O42" s="95"/>
      <c r="P42" s="95"/>
      <c r="Q42" s="28"/>
      <c r="R42" s="95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95"/>
      <c r="AD42" s="97"/>
      <c r="AE42" s="97"/>
      <c r="AF42" s="97"/>
      <c r="AG42" s="97"/>
      <c r="AH42" s="28"/>
      <c r="AI42" s="28"/>
      <c r="AJ42" s="28"/>
      <c r="AK42" s="28"/>
      <c r="AL42" s="28"/>
      <c r="AM42" s="28"/>
      <c r="AN42" s="28"/>
    </row>
    <row r="43" spans="1:40" ht="12" customHeight="1" x14ac:dyDescent="0.25">
      <c r="A43" s="28"/>
      <c r="B43" s="95"/>
      <c r="C43" s="95"/>
      <c r="D43" s="96"/>
      <c r="E43" s="96"/>
      <c r="F43" s="95"/>
      <c r="G43" s="95"/>
      <c r="H43" s="28"/>
      <c r="I43" s="28"/>
      <c r="J43" s="28"/>
      <c r="K43" s="97"/>
      <c r="L43" s="98"/>
      <c r="M43" s="95"/>
      <c r="N43" s="98"/>
      <c r="O43" s="95"/>
      <c r="P43" s="95"/>
      <c r="Q43" s="28"/>
      <c r="R43" s="95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95"/>
      <c r="AD43" s="97"/>
      <c r="AE43" s="97"/>
      <c r="AF43" s="97"/>
      <c r="AG43" s="97"/>
      <c r="AH43" s="28"/>
      <c r="AI43" s="28"/>
      <c r="AJ43" s="28"/>
      <c r="AK43" s="28"/>
      <c r="AL43" s="28"/>
      <c r="AM43" s="28"/>
      <c r="AN43" s="28"/>
    </row>
    <row r="44" spans="1:40" ht="12" customHeight="1" x14ac:dyDescent="0.25">
      <c r="A44" s="28"/>
      <c r="B44" s="95"/>
      <c r="C44" s="95"/>
      <c r="D44" s="96"/>
      <c r="E44" s="96"/>
      <c r="F44" s="95"/>
      <c r="G44" s="95"/>
      <c r="H44" s="28"/>
      <c r="I44" s="28"/>
      <c r="J44" s="28"/>
      <c r="K44" s="97"/>
      <c r="L44" s="98"/>
      <c r="M44" s="95"/>
      <c r="N44" s="98"/>
      <c r="O44" s="95"/>
      <c r="P44" s="95"/>
      <c r="Q44" s="28"/>
      <c r="R44" s="9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95"/>
      <c r="AD44" s="97"/>
      <c r="AE44" s="97"/>
      <c r="AF44" s="97"/>
      <c r="AG44" s="97"/>
      <c r="AH44" s="28"/>
      <c r="AI44" s="28"/>
      <c r="AJ44" s="28"/>
      <c r="AK44" s="28"/>
      <c r="AL44" s="28"/>
      <c r="AM44" s="28"/>
      <c r="AN44" s="28"/>
    </row>
    <row r="45" spans="1:40" ht="12" customHeight="1" x14ac:dyDescent="0.25">
      <c r="A45" s="28"/>
      <c r="B45" s="95"/>
      <c r="C45" s="95"/>
      <c r="D45" s="96"/>
      <c r="E45" s="96"/>
      <c r="F45" s="95"/>
      <c r="G45" s="95"/>
      <c r="H45" s="28"/>
      <c r="I45" s="28"/>
      <c r="J45" s="28"/>
      <c r="K45" s="97"/>
      <c r="L45" s="98"/>
      <c r="M45" s="95"/>
      <c r="N45" s="98"/>
      <c r="O45" s="95"/>
      <c r="P45" s="95"/>
      <c r="Q45" s="28"/>
      <c r="R45" s="95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95"/>
      <c r="AD45" s="97"/>
      <c r="AE45" s="97"/>
      <c r="AF45" s="97"/>
      <c r="AG45" s="97"/>
      <c r="AH45" s="28"/>
      <c r="AI45" s="28"/>
      <c r="AJ45" s="28"/>
      <c r="AK45" s="28"/>
      <c r="AL45" s="28"/>
      <c r="AM45" s="28"/>
      <c r="AN45" s="28"/>
    </row>
    <row r="46" spans="1:40" ht="12" customHeight="1" x14ac:dyDescent="0.25">
      <c r="A46" s="28"/>
      <c r="B46" s="95"/>
      <c r="C46" s="95"/>
      <c r="D46" s="96"/>
      <c r="E46" s="96"/>
      <c r="F46" s="95"/>
      <c r="G46" s="95"/>
      <c r="H46" s="28"/>
      <c r="I46" s="28"/>
      <c r="J46" s="28"/>
      <c r="K46" s="97"/>
      <c r="L46" s="98"/>
      <c r="M46" s="95"/>
      <c r="N46" s="98"/>
      <c r="O46" s="95"/>
      <c r="P46" s="95"/>
      <c r="Q46" s="28"/>
      <c r="R46" s="95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95"/>
      <c r="AD46" s="97"/>
      <c r="AE46" s="97"/>
      <c r="AF46" s="97"/>
      <c r="AG46" s="97"/>
      <c r="AH46" s="28"/>
      <c r="AI46" s="28"/>
      <c r="AJ46" s="28"/>
      <c r="AK46" s="28"/>
      <c r="AL46" s="28"/>
      <c r="AM46" s="28"/>
      <c r="AN46" s="28"/>
    </row>
    <row r="47" spans="1:40" ht="12" customHeight="1" x14ac:dyDescent="0.25">
      <c r="A47" s="28"/>
      <c r="B47" s="95"/>
      <c r="C47" s="95"/>
      <c r="D47" s="96"/>
      <c r="E47" s="96"/>
      <c r="F47" s="95"/>
      <c r="G47" s="95"/>
      <c r="H47" s="28"/>
      <c r="I47" s="28"/>
      <c r="J47" s="28"/>
      <c r="K47" s="97"/>
      <c r="L47" s="98"/>
      <c r="M47" s="95"/>
      <c r="N47" s="98"/>
      <c r="O47" s="95"/>
      <c r="P47" s="95"/>
      <c r="Q47" s="28"/>
      <c r="R47" s="95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95"/>
      <c r="AD47" s="97"/>
      <c r="AE47" s="97"/>
      <c r="AF47" s="97"/>
      <c r="AG47" s="97"/>
      <c r="AH47" s="28"/>
      <c r="AI47" s="28"/>
      <c r="AJ47" s="28"/>
      <c r="AK47" s="28"/>
      <c r="AL47" s="28"/>
      <c r="AM47" s="28"/>
      <c r="AN47" s="28"/>
    </row>
    <row r="48" spans="1:40" ht="12" customHeight="1" x14ac:dyDescent="0.25">
      <c r="A48" s="28"/>
      <c r="B48" s="95"/>
      <c r="C48" s="95"/>
      <c r="D48" s="96"/>
      <c r="E48" s="96"/>
      <c r="F48" s="95"/>
      <c r="G48" s="95"/>
      <c r="H48" s="28"/>
      <c r="I48" s="28"/>
      <c r="J48" s="28"/>
      <c r="K48" s="97"/>
      <c r="L48" s="98"/>
      <c r="M48" s="95"/>
      <c r="N48" s="98"/>
      <c r="O48" s="95"/>
      <c r="P48" s="95"/>
      <c r="Q48" s="28"/>
      <c r="R48" s="95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95"/>
      <c r="AD48" s="97"/>
      <c r="AE48" s="97"/>
      <c r="AF48" s="97"/>
      <c r="AG48" s="97"/>
      <c r="AH48" s="28"/>
      <c r="AI48" s="28"/>
      <c r="AJ48" s="28"/>
      <c r="AK48" s="28"/>
      <c r="AL48" s="28"/>
      <c r="AM48" s="28"/>
      <c r="AN48" s="28"/>
    </row>
    <row r="49" spans="1:40" ht="12" customHeight="1" x14ac:dyDescent="0.25">
      <c r="A49" s="28"/>
      <c r="B49" s="95"/>
      <c r="C49" s="95"/>
      <c r="D49" s="96"/>
      <c r="E49" s="96"/>
      <c r="F49" s="95"/>
      <c r="G49" s="95"/>
      <c r="H49" s="28"/>
      <c r="I49" s="28"/>
      <c r="J49" s="28"/>
      <c r="K49" s="97"/>
      <c r="L49" s="98"/>
      <c r="M49" s="95"/>
      <c r="N49" s="98"/>
      <c r="O49" s="95"/>
      <c r="P49" s="95"/>
      <c r="Q49" s="28"/>
      <c r="R49" s="95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95"/>
      <c r="AD49" s="97"/>
      <c r="AE49" s="97"/>
      <c r="AF49" s="97"/>
      <c r="AG49" s="97"/>
      <c r="AH49" s="28"/>
      <c r="AI49" s="28"/>
      <c r="AJ49" s="28"/>
      <c r="AK49" s="28"/>
      <c r="AL49" s="28"/>
      <c r="AM49" s="28"/>
      <c r="AN49" s="28"/>
    </row>
    <row r="50" spans="1:40" ht="12" customHeight="1" x14ac:dyDescent="0.25">
      <c r="A50" s="28"/>
      <c r="B50" s="95"/>
      <c r="C50" s="95"/>
      <c r="D50" s="96"/>
      <c r="E50" s="96"/>
      <c r="F50" s="95"/>
      <c r="G50" s="95"/>
      <c r="H50" s="28"/>
      <c r="I50" s="28"/>
      <c r="J50" s="28"/>
      <c r="K50" s="97"/>
      <c r="L50" s="98"/>
      <c r="M50" s="95"/>
      <c r="N50" s="98"/>
      <c r="O50" s="95"/>
      <c r="P50" s="95"/>
      <c r="Q50" s="28"/>
      <c r="R50" s="95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95"/>
      <c r="AD50" s="97"/>
      <c r="AE50" s="97"/>
      <c r="AF50" s="97"/>
      <c r="AG50" s="97"/>
      <c r="AH50" s="28"/>
      <c r="AI50" s="28"/>
      <c r="AJ50" s="28"/>
      <c r="AK50" s="28"/>
      <c r="AL50" s="28"/>
      <c r="AM50" s="28"/>
      <c r="AN50" s="28"/>
    </row>
    <row r="51" spans="1:40" ht="12" customHeight="1" x14ac:dyDescent="0.25">
      <c r="A51" s="28"/>
      <c r="B51" s="95"/>
      <c r="C51" s="95"/>
      <c r="D51" s="96"/>
      <c r="E51" s="96"/>
      <c r="F51" s="95"/>
      <c r="G51" s="95"/>
      <c r="H51" s="28"/>
      <c r="I51" s="28"/>
      <c r="J51" s="28"/>
      <c r="K51" s="97"/>
      <c r="L51" s="98"/>
      <c r="M51" s="95"/>
      <c r="N51" s="98"/>
      <c r="O51" s="95"/>
      <c r="P51" s="95"/>
      <c r="Q51" s="28"/>
      <c r="R51" s="95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95"/>
      <c r="AD51" s="97"/>
      <c r="AE51" s="97"/>
      <c r="AF51" s="97"/>
      <c r="AG51" s="97"/>
      <c r="AH51" s="28"/>
      <c r="AI51" s="28"/>
      <c r="AJ51" s="28"/>
      <c r="AK51" s="28"/>
      <c r="AL51" s="28"/>
      <c r="AM51" s="28"/>
      <c r="AN51" s="28"/>
    </row>
    <row r="52" spans="1:40" ht="12" customHeight="1" x14ac:dyDescent="0.25">
      <c r="A52" s="28"/>
      <c r="B52" s="95"/>
      <c r="C52" s="95"/>
      <c r="D52" s="96"/>
      <c r="E52" s="96"/>
      <c r="F52" s="95"/>
      <c r="G52" s="95"/>
      <c r="H52" s="28"/>
      <c r="I52" s="28"/>
      <c r="J52" s="28"/>
      <c r="K52" s="97"/>
      <c r="L52" s="98"/>
      <c r="M52" s="95"/>
      <c r="N52" s="98"/>
      <c r="O52" s="95"/>
      <c r="P52" s="95"/>
      <c r="Q52" s="28"/>
      <c r="R52" s="95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95"/>
      <c r="AD52" s="97"/>
      <c r="AE52" s="97"/>
      <c r="AF52" s="97"/>
      <c r="AG52" s="97"/>
      <c r="AH52" s="28"/>
      <c r="AI52" s="28"/>
      <c r="AJ52" s="28"/>
      <c r="AK52" s="28"/>
      <c r="AL52" s="28"/>
      <c r="AM52" s="28"/>
      <c r="AN52" s="28"/>
    </row>
    <row r="53" spans="1:40" ht="12" customHeight="1" x14ac:dyDescent="0.25">
      <c r="A53" s="28"/>
      <c r="B53" s="95"/>
      <c r="C53" s="95"/>
      <c r="D53" s="96"/>
      <c r="E53" s="96"/>
      <c r="F53" s="95"/>
      <c r="G53" s="95"/>
      <c r="H53" s="28"/>
      <c r="I53" s="28"/>
      <c r="J53" s="28"/>
      <c r="K53" s="97"/>
      <c r="L53" s="98"/>
      <c r="M53" s="95"/>
      <c r="N53" s="98"/>
      <c r="O53" s="95"/>
      <c r="P53" s="95"/>
      <c r="Q53" s="28"/>
      <c r="R53" s="95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95"/>
      <c r="AD53" s="97"/>
      <c r="AE53" s="97"/>
      <c r="AF53" s="97"/>
      <c r="AG53" s="97"/>
      <c r="AH53" s="28"/>
      <c r="AI53" s="28"/>
      <c r="AJ53" s="28"/>
      <c r="AK53" s="28"/>
      <c r="AL53" s="28"/>
      <c r="AM53" s="28"/>
      <c r="AN53" s="28"/>
    </row>
    <row r="54" spans="1:40" ht="12" customHeight="1" x14ac:dyDescent="0.25">
      <c r="A54" s="28"/>
      <c r="B54" s="95"/>
      <c r="C54" s="95"/>
      <c r="D54" s="96"/>
      <c r="E54" s="96"/>
      <c r="F54" s="95"/>
      <c r="G54" s="95"/>
      <c r="H54" s="28"/>
      <c r="I54" s="28"/>
      <c r="J54" s="28"/>
      <c r="K54" s="97"/>
      <c r="L54" s="98"/>
      <c r="M54" s="95"/>
      <c r="N54" s="98"/>
      <c r="O54" s="95"/>
      <c r="P54" s="95"/>
      <c r="Q54" s="28"/>
      <c r="R54" s="95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95"/>
      <c r="AD54" s="97"/>
      <c r="AE54" s="97"/>
      <c r="AF54" s="97"/>
      <c r="AG54" s="97"/>
      <c r="AH54" s="28"/>
      <c r="AI54" s="28"/>
      <c r="AJ54" s="28"/>
      <c r="AK54" s="28"/>
      <c r="AL54" s="28"/>
      <c r="AM54" s="28"/>
      <c r="AN54" s="28"/>
    </row>
    <row r="55" spans="1:40" ht="12" customHeight="1" x14ac:dyDescent="0.25">
      <c r="A55" s="28"/>
      <c r="B55" s="95"/>
      <c r="C55" s="95"/>
      <c r="D55" s="96"/>
      <c r="E55" s="96"/>
      <c r="F55" s="95"/>
      <c r="G55" s="95"/>
      <c r="H55" s="28"/>
      <c r="I55" s="28"/>
      <c r="J55" s="28"/>
      <c r="K55" s="97"/>
      <c r="L55" s="98"/>
      <c r="M55" s="95"/>
      <c r="N55" s="98"/>
      <c r="O55" s="95"/>
      <c r="P55" s="95"/>
      <c r="Q55" s="28"/>
      <c r="R55" s="95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95"/>
      <c r="AD55" s="97"/>
      <c r="AE55" s="97"/>
      <c r="AF55" s="97"/>
      <c r="AG55" s="97"/>
      <c r="AH55" s="28"/>
      <c r="AI55" s="28"/>
      <c r="AJ55" s="28"/>
      <c r="AK55" s="28"/>
      <c r="AL55" s="28"/>
      <c r="AM55" s="28"/>
      <c r="AN55" s="28"/>
    </row>
    <row r="56" spans="1:40" ht="12" customHeight="1" x14ac:dyDescent="0.25">
      <c r="A56" s="28"/>
      <c r="B56" s="95"/>
      <c r="C56" s="95"/>
      <c r="D56" s="96"/>
      <c r="E56" s="96"/>
      <c r="F56" s="95"/>
      <c r="G56" s="95"/>
      <c r="H56" s="28"/>
      <c r="I56" s="28"/>
      <c r="J56" s="28"/>
      <c r="K56" s="97"/>
      <c r="L56" s="98"/>
      <c r="M56" s="95"/>
      <c r="N56" s="98"/>
      <c r="O56" s="95"/>
      <c r="P56" s="95"/>
      <c r="Q56" s="28"/>
      <c r="R56" s="95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95"/>
      <c r="AD56" s="97"/>
      <c r="AE56" s="97"/>
      <c r="AF56" s="97"/>
      <c r="AG56" s="97"/>
      <c r="AH56" s="28"/>
      <c r="AI56" s="28"/>
      <c r="AJ56" s="28"/>
      <c r="AK56" s="28"/>
      <c r="AL56" s="28"/>
      <c r="AM56" s="28"/>
      <c r="AN56" s="28"/>
    </row>
    <row r="57" spans="1:40" ht="12" customHeight="1" x14ac:dyDescent="0.25">
      <c r="A57" s="28"/>
      <c r="B57" s="95"/>
      <c r="C57" s="95"/>
      <c r="D57" s="96"/>
      <c r="E57" s="96"/>
      <c r="F57" s="95"/>
      <c r="G57" s="95"/>
      <c r="H57" s="28"/>
      <c r="I57" s="28"/>
      <c r="J57" s="28"/>
      <c r="K57" s="97"/>
      <c r="L57" s="98"/>
      <c r="M57" s="95"/>
      <c r="N57" s="98"/>
      <c r="O57" s="95"/>
      <c r="P57" s="95"/>
      <c r="Q57" s="28"/>
      <c r="R57" s="95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95"/>
      <c r="AD57" s="97"/>
      <c r="AE57" s="97"/>
      <c r="AF57" s="97"/>
      <c r="AG57" s="97"/>
      <c r="AH57" s="28"/>
      <c r="AI57" s="28"/>
      <c r="AJ57" s="28"/>
      <c r="AK57" s="28"/>
      <c r="AL57" s="28"/>
      <c r="AM57" s="28"/>
      <c r="AN57" s="28"/>
    </row>
    <row r="58" spans="1:40" ht="12" customHeight="1" x14ac:dyDescent="0.25">
      <c r="A58" s="28"/>
      <c r="B58" s="95"/>
      <c r="C58" s="95"/>
      <c r="D58" s="96"/>
      <c r="E58" s="96"/>
      <c r="F58" s="95"/>
      <c r="G58" s="95"/>
      <c r="H58" s="28"/>
      <c r="I58" s="28"/>
      <c r="J58" s="28"/>
      <c r="K58" s="97"/>
      <c r="L58" s="98"/>
      <c r="M58" s="95"/>
      <c r="N58" s="98"/>
      <c r="O58" s="95"/>
      <c r="P58" s="95"/>
      <c r="Q58" s="28"/>
      <c r="R58" s="95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95"/>
      <c r="AD58" s="97"/>
      <c r="AE58" s="97"/>
      <c r="AF58" s="97"/>
      <c r="AG58" s="97"/>
      <c r="AH58" s="28"/>
      <c r="AI58" s="28"/>
      <c r="AJ58" s="28"/>
      <c r="AK58" s="28"/>
      <c r="AL58" s="28"/>
      <c r="AM58" s="28"/>
      <c r="AN58" s="28"/>
    </row>
    <row r="59" spans="1:40" ht="12" customHeight="1" x14ac:dyDescent="0.25">
      <c r="A59" s="28"/>
      <c r="B59" s="95"/>
      <c r="C59" s="95"/>
      <c r="D59" s="96"/>
      <c r="E59" s="96"/>
      <c r="F59" s="95"/>
      <c r="G59" s="95"/>
      <c r="H59" s="28"/>
      <c r="I59" s="28"/>
      <c r="J59" s="28"/>
      <c r="K59" s="97"/>
      <c r="L59" s="98"/>
      <c r="M59" s="95"/>
      <c r="N59" s="98"/>
      <c r="O59" s="95"/>
      <c r="P59" s="95"/>
      <c r="Q59" s="28"/>
      <c r="R59" s="95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95"/>
      <c r="AD59" s="97"/>
      <c r="AE59" s="97"/>
      <c r="AF59" s="97"/>
      <c r="AG59" s="97"/>
      <c r="AH59" s="28"/>
      <c r="AI59" s="28"/>
      <c r="AJ59" s="28"/>
      <c r="AK59" s="28"/>
      <c r="AL59" s="28"/>
      <c r="AM59" s="28"/>
      <c r="AN59" s="28"/>
    </row>
    <row r="60" spans="1:40" ht="12" customHeight="1" x14ac:dyDescent="0.25">
      <c r="A60" s="28"/>
      <c r="B60" s="95"/>
      <c r="C60" s="95"/>
      <c r="D60" s="96"/>
      <c r="E60" s="96"/>
      <c r="F60" s="95"/>
      <c r="G60" s="95"/>
      <c r="H60" s="28"/>
      <c r="I60" s="28"/>
      <c r="J60" s="28"/>
      <c r="K60" s="97"/>
      <c r="L60" s="98"/>
      <c r="M60" s="95"/>
      <c r="N60" s="98"/>
      <c r="O60" s="95"/>
      <c r="P60" s="95"/>
      <c r="Q60" s="28"/>
      <c r="R60" s="95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95"/>
      <c r="AD60" s="97"/>
      <c r="AE60" s="97"/>
      <c r="AF60" s="97"/>
      <c r="AG60" s="97"/>
      <c r="AH60" s="28"/>
      <c r="AI60" s="28"/>
      <c r="AJ60" s="28"/>
      <c r="AK60" s="28"/>
      <c r="AL60" s="28"/>
      <c r="AM60" s="28"/>
      <c r="AN60" s="28"/>
    </row>
    <row r="61" spans="1:40" ht="12" customHeight="1" x14ac:dyDescent="0.25">
      <c r="A61" s="28"/>
      <c r="B61" s="95"/>
      <c r="C61" s="95"/>
      <c r="D61" s="96"/>
      <c r="E61" s="96"/>
      <c r="F61" s="95"/>
      <c r="G61" s="95"/>
      <c r="H61" s="28"/>
      <c r="I61" s="28"/>
      <c r="J61" s="28"/>
      <c r="K61" s="97"/>
      <c r="L61" s="98"/>
      <c r="M61" s="95"/>
      <c r="N61" s="98"/>
      <c r="O61" s="95"/>
      <c r="P61" s="95"/>
      <c r="Q61" s="28"/>
      <c r="R61" s="95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95"/>
      <c r="AD61" s="97"/>
      <c r="AE61" s="97"/>
      <c r="AF61" s="97"/>
      <c r="AG61" s="97"/>
      <c r="AH61" s="28"/>
      <c r="AI61" s="28"/>
      <c r="AJ61" s="28"/>
      <c r="AK61" s="28"/>
      <c r="AL61" s="28"/>
      <c r="AM61" s="28"/>
      <c r="AN61" s="28"/>
    </row>
    <row r="62" spans="1:40" ht="12" customHeight="1" x14ac:dyDescent="0.25">
      <c r="A62" s="28"/>
      <c r="B62" s="95"/>
      <c r="C62" s="95"/>
      <c r="D62" s="96"/>
      <c r="E62" s="96"/>
      <c r="F62" s="95"/>
      <c r="G62" s="95"/>
      <c r="H62" s="28"/>
      <c r="I62" s="28"/>
      <c r="J62" s="28"/>
      <c r="K62" s="97"/>
      <c r="L62" s="98"/>
      <c r="M62" s="95"/>
      <c r="N62" s="98"/>
      <c r="O62" s="95"/>
      <c r="P62" s="95"/>
      <c r="Q62" s="28"/>
      <c r="R62" s="95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95"/>
      <c r="AD62" s="97"/>
      <c r="AE62" s="97"/>
      <c r="AF62" s="97"/>
      <c r="AG62" s="97"/>
      <c r="AH62" s="28"/>
      <c r="AI62" s="28"/>
      <c r="AJ62" s="28"/>
      <c r="AK62" s="28"/>
      <c r="AL62" s="28"/>
      <c r="AM62" s="28"/>
      <c r="AN62" s="28"/>
    </row>
    <row r="63" spans="1:40" ht="12" customHeight="1" x14ac:dyDescent="0.25">
      <c r="A63" s="28"/>
      <c r="B63" s="95"/>
      <c r="C63" s="95"/>
      <c r="D63" s="96"/>
      <c r="E63" s="96"/>
      <c r="F63" s="95"/>
      <c r="G63" s="95"/>
      <c r="H63" s="28"/>
      <c r="I63" s="28"/>
      <c r="J63" s="28"/>
      <c r="K63" s="97"/>
      <c r="L63" s="98"/>
      <c r="M63" s="95"/>
      <c r="N63" s="98"/>
      <c r="O63" s="95"/>
      <c r="P63" s="95"/>
      <c r="Q63" s="28"/>
      <c r="R63" s="95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95"/>
      <c r="AD63" s="97"/>
      <c r="AE63" s="97"/>
      <c r="AF63" s="97"/>
      <c r="AG63" s="97"/>
      <c r="AH63" s="28"/>
      <c r="AI63" s="28"/>
      <c r="AJ63" s="28"/>
      <c r="AK63" s="28"/>
      <c r="AL63" s="28"/>
      <c r="AM63" s="28"/>
      <c r="AN63" s="28"/>
    </row>
    <row r="64" spans="1:40" ht="12" customHeight="1" x14ac:dyDescent="0.25">
      <c r="A64" s="28"/>
      <c r="B64" s="95"/>
      <c r="C64" s="95"/>
      <c r="D64" s="96"/>
      <c r="E64" s="96"/>
      <c r="F64" s="95"/>
      <c r="G64" s="95"/>
      <c r="H64" s="28"/>
      <c r="I64" s="28"/>
      <c r="J64" s="28"/>
      <c r="K64" s="97"/>
      <c r="L64" s="98"/>
      <c r="M64" s="95"/>
      <c r="N64" s="98"/>
      <c r="O64" s="95"/>
      <c r="P64" s="95"/>
      <c r="Q64" s="28"/>
      <c r="R64" s="95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95"/>
      <c r="AD64" s="97"/>
      <c r="AE64" s="97"/>
      <c r="AF64" s="97"/>
      <c r="AG64" s="97"/>
      <c r="AH64" s="28"/>
      <c r="AI64" s="28"/>
      <c r="AJ64" s="28"/>
      <c r="AK64" s="28"/>
      <c r="AL64" s="28"/>
      <c r="AM64" s="28"/>
      <c r="AN64" s="28"/>
    </row>
    <row r="65" spans="1:40" ht="12" customHeight="1" x14ac:dyDescent="0.25">
      <c r="A65" s="28"/>
      <c r="B65" s="95"/>
      <c r="C65" s="95"/>
      <c r="D65" s="96"/>
      <c r="E65" s="96"/>
      <c r="F65" s="95"/>
      <c r="G65" s="95"/>
      <c r="H65" s="28"/>
      <c r="I65" s="28"/>
      <c r="J65" s="28"/>
      <c r="K65" s="97"/>
      <c r="L65" s="98"/>
      <c r="M65" s="95"/>
      <c r="N65" s="98"/>
      <c r="O65" s="95"/>
      <c r="P65" s="95"/>
      <c r="Q65" s="28"/>
      <c r="R65" s="95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95"/>
      <c r="AD65" s="97"/>
      <c r="AE65" s="97"/>
      <c r="AF65" s="97"/>
      <c r="AG65" s="97"/>
      <c r="AH65" s="28"/>
      <c r="AI65" s="28"/>
      <c r="AJ65" s="28"/>
      <c r="AK65" s="28"/>
      <c r="AL65" s="28"/>
      <c r="AM65" s="28"/>
      <c r="AN65" s="28"/>
    </row>
    <row r="66" spans="1:40" ht="12" customHeight="1" x14ac:dyDescent="0.25">
      <c r="A66" s="28"/>
      <c r="B66" s="95"/>
      <c r="C66" s="95"/>
      <c r="D66" s="96"/>
      <c r="E66" s="96"/>
      <c r="F66" s="95"/>
      <c r="G66" s="95"/>
      <c r="H66" s="28"/>
      <c r="I66" s="28"/>
      <c r="J66" s="28"/>
      <c r="K66" s="97"/>
      <c r="L66" s="98"/>
      <c r="M66" s="95"/>
      <c r="N66" s="98"/>
      <c r="O66" s="95"/>
      <c r="P66" s="95"/>
      <c r="Q66" s="28"/>
      <c r="R66" s="9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95"/>
      <c r="AD66" s="97"/>
      <c r="AE66" s="97"/>
      <c r="AF66" s="97"/>
      <c r="AG66" s="97"/>
      <c r="AH66" s="28"/>
      <c r="AI66" s="28"/>
      <c r="AJ66" s="28"/>
      <c r="AK66" s="28"/>
      <c r="AL66" s="28"/>
      <c r="AM66" s="28"/>
      <c r="AN66" s="28"/>
    </row>
    <row r="67" spans="1:40" ht="12" customHeight="1" x14ac:dyDescent="0.25">
      <c r="A67" s="28"/>
      <c r="B67" s="95"/>
      <c r="C67" s="95"/>
      <c r="D67" s="96"/>
      <c r="E67" s="96"/>
      <c r="F67" s="95"/>
      <c r="G67" s="95"/>
      <c r="H67" s="28"/>
      <c r="I67" s="28"/>
      <c r="J67" s="28"/>
      <c r="K67" s="97"/>
      <c r="L67" s="98"/>
      <c r="M67" s="95"/>
      <c r="N67" s="98"/>
      <c r="O67" s="95"/>
      <c r="P67" s="95"/>
      <c r="Q67" s="28"/>
      <c r="R67" s="95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95"/>
      <c r="AD67" s="97"/>
      <c r="AE67" s="97"/>
      <c r="AF67" s="97"/>
      <c r="AG67" s="97"/>
      <c r="AH67" s="28"/>
      <c r="AI67" s="28"/>
      <c r="AJ67" s="28"/>
      <c r="AK67" s="28"/>
      <c r="AL67" s="28"/>
      <c r="AM67" s="28"/>
      <c r="AN67" s="28"/>
    </row>
    <row r="68" spans="1:40" ht="12" customHeight="1" x14ac:dyDescent="0.25">
      <c r="A68" s="28"/>
      <c r="B68" s="95"/>
      <c r="C68" s="95"/>
      <c r="D68" s="96"/>
      <c r="E68" s="96"/>
      <c r="F68" s="95"/>
      <c r="G68" s="95"/>
      <c r="H68" s="28"/>
      <c r="I68" s="28"/>
      <c r="J68" s="28"/>
      <c r="K68" s="97"/>
      <c r="L68" s="98"/>
      <c r="M68" s="95"/>
      <c r="N68" s="98"/>
      <c r="O68" s="95"/>
      <c r="P68" s="95"/>
      <c r="Q68" s="28"/>
      <c r="R68" s="95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95"/>
      <c r="AD68" s="97"/>
      <c r="AE68" s="97"/>
      <c r="AF68" s="97"/>
      <c r="AG68" s="97"/>
      <c r="AH68" s="28"/>
      <c r="AI68" s="28"/>
      <c r="AJ68" s="28"/>
      <c r="AK68" s="28"/>
      <c r="AL68" s="28"/>
      <c r="AM68" s="28"/>
      <c r="AN68" s="28"/>
    </row>
    <row r="69" spans="1:40" ht="12" customHeight="1" x14ac:dyDescent="0.25">
      <c r="A69" s="28"/>
      <c r="B69" s="95"/>
      <c r="C69" s="95"/>
      <c r="D69" s="96"/>
      <c r="E69" s="96"/>
      <c r="F69" s="95"/>
      <c r="G69" s="95"/>
      <c r="H69" s="28"/>
      <c r="I69" s="28"/>
      <c r="J69" s="28"/>
      <c r="K69" s="97"/>
      <c r="L69" s="98"/>
      <c r="M69" s="95"/>
      <c r="N69" s="98"/>
      <c r="O69" s="95"/>
      <c r="P69" s="95"/>
      <c r="Q69" s="28"/>
      <c r="R69" s="95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95"/>
      <c r="AD69" s="97"/>
      <c r="AE69" s="97"/>
      <c r="AF69" s="97"/>
      <c r="AG69" s="97"/>
      <c r="AH69" s="28"/>
      <c r="AI69" s="28"/>
      <c r="AJ69" s="28"/>
      <c r="AK69" s="28"/>
      <c r="AL69" s="28"/>
      <c r="AM69" s="28"/>
      <c r="AN69" s="28"/>
    </row>
    <row r="70" spans="1:40" ht="12" customHeight="1" x14ac:dyDescent="0.25">
      <c r="A70" s="28"/>
      <c r="B70" s="95"/>
      <c r="C70" s="95"/>
      <c r="D70" s="96"/>
      <c r="E70" s="96"/>
      <c r="F70" s="95"/>
      <c r="G70" s="95"/>
      <c r="H70" s="28"/>
      <c r="I70" s="28"/>
      <c r="J70" s="28"/>
      <c r="K70" s="97"/>
      <c r="L70" s="98"/>
      <c r="M70" s="95"/>
      <c r="N70" s="98"/>
      <c r="O70" s="95"/>
      <c r="P70" s="95"/>
      <c r="Q70" s="28"/>
      <c r="R70" s="95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95"/>
      <c r="AD70" s="97"/>
      <c r="AE70" s="97"/>
      <c r="AF70" s="97"/>
      <c r="AG70" s="97"/>
      <c r="AH70" s="28"/>
      <c r="AI70" s="28"/>
      <c r="AJ70" s="28"/>
      <c r="AK70" s="28"/>
      <c r="AL70" s="28"/>
      <c r="AM70" s="28"/>
      <c r="AN70" s="28"/>
    </row>
    <row r="71" spans="1:40" ht="12" customHeight="1" x14ac:dyDescent="0.25">
      <c r="A71" s="28"/>
      <c r="B71" s="95"/>
      <c r="C71" s="95"/>
      <c r="D71" s="96"/>
      <c r="E71" s="96"/>
      <c r="F71" s="95"/>
      <c r="G71" s="95"/>
      <c r="H71" s="28"/>
      <c r="I71" s="28"/>
      <c r="J71" s="28"/>
      <c r="K71" s="97"/>
      <c r="L71" s="98"/>
      <c r="M71" s="95"/>
      <c r="N71" s="98"/>
      <c r="O71" s="95"/>
      <c r="P71" s="95"/>
      <c r="Q71" s="28"/>
      <c r="R71" s="95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95"/>
      <c r="AD71" s="97"/>
      <c r="AE71" s="97"/>
      <c r="AF71" s="97"/>
      <c r="AG71" s="97"/>
      <c r="AH71" s="28"/>
      <c r="AI71" s="28"/>
      <c r="AJ71" s="28"/>
      <c r="AK71" s="28"/>
      <c r="AL71" s="28"/>
      <c r="AM71" s="28"/>
      <c r="AN71" s="28"/>
    </row>
    <row r="72" spans="1:40" ht="12" customHeight="1" x14ac:dyDescent="0.25">
      <c r="A72" s="28"/>
      <c r="B72" s="95"/>
      <c r="C72" s="95"/>
      <c r="D72" s="96"/>
      <c r="E72" s="96"/>
      <c r="F72" s="95"/>
      <c r="G72" s="95"/>
      <c r="H72" s="28"/>
      <c r="I72" s="28"/>
      <c r="J72" s="28"/>
      <c r="K72" s="97"/>
      <c r="L72" s="98"/>
      <c r="M72" s="95"/>
      <c r="N72" s="98"/>
      <c r="O72" s="95"/>
      <c r="P72" s="95"/>
      <c r="Q72" s="28"/>
      <c r="R72" s="95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95"/>
      <c r="AD72" s="97"/>
      <c r="AE72" s="97"/>
      <c r="AF72" s="97"/>
      <c r="AG72" s="97"/>
      <c r="AH72" s="28"/>
      <c r="AI72" s="28"/>
      <c r="AJ72" s="28"/>
      <c r="AK72" s="28"/>
      <c r="AL72" s="28"/>
      <c r="AM72" s="28"/>
      <c r="AN72" s="28"/>
    </row>
    <row r="73" spans="1:40" ht="12" customHeight="1" x14ac:dyDescent="0.25">
      <c r="A73" s="28"/>
      <c r="B73" s="95"/>
      <c r="C73" s="95"/>
      <c r="D73" s="96"/>
      <c r="E73" s="96"/>
      <c r="F73" s="95"/>
      <c r="G73" s="95"/>
      <c r="H73" s="28"/>
      <c r="I73" s="28"/>
      <c r="J73" s="28"/>
      <c r="K73" s="97"/>
      <c r="L73" s="98"/>
      <c r="M73" s="95"/>
      <c r="N73" s="98"/>
      <c r="O73" s="95"/>
      <c r="P73" s="95"/>
      <c r="Q73" s="28"/>
      <c r="R73" s="95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95"/>
      <c r="AD73" s="97"/>
      <c r="AE73" s="97"/>
      <c r="AF73" s="97"/>
      <c r="AG73" s="97"/>
      <c r="AH73" s="28"/>
      <c r="AI73" s="28"/>
      <c r="AJ73" s="28"/>
      <c r="AK73" s="28"/>
      <c r="AL73" s="28"/>
      <c r="AM73" s="28"/>
      <c r="AN73" s="28"/>
    </row>
    <row r="74" spans="1:40" ht="12" customHeight="1" x14ac:dyDescent="0.25">
      <c r="A74" s="28"/>
      <c r="B74" s="95"/>
      <c r="C74" s="95"/>
      <c r="D74" s="96"/>
      <c r="E74" s="96"/>
      <c r="F74" s="95"/>
      <c r="G74" s="95"/>
      <c r="H74" s="28"/>
      <c r="I74" s="28"/>
      <c r="J74" s="28"/>
      <c r="K74" s="97"/>
      <c r="L74" s="98"/>
      <c r="M74" s="95"/>
      <c r="N74" s="98"/>
      <c r="O74" s="95"/>
      <c r="P74" s="95"/>
      <c r="Q74" s="28"/>
      <c r="R74" s="95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95"/>
      <c r="AD74" s="97"/>
      <c r="AE74" s="97"/>
      <c r="AF74" s="97"/>
      <c r="AG74" s="97"/>
      <c r="AH74" s="28"/>
      <c r="AI74" s="28"/>
      <c r="AJ74" s="28"/>
      <c r="AK74" s="28"/>
      <c r="AL74" s="28"/>
      <c r="AM74" s="28"/>
      <c r="AN74" s="28"/>
    </row>
    <row r="75" spans="1:40" ht="12" customHeight="1" x14ac:dyDescent="0.25">
      <c r="A75" s="28"/>
      <c r="B75" s="95"/>
      <c r="C75" s="95"/>
      <c r="D75" s="96"/>
      <c r="E75" s="96"/>
      <c r="F75" s="95"/>
      <c r="G75" s="95"/>
      <c r="H75" s="28"/>
      <c r="I75" s="28"/>
      <c r="J75" s="28"/>
      <c r="K75" s="97"/>
      <c r="L75" s="98"/>
      <c r="M75" s="95"/>
      <c r="N75" s="98"/>
      <c r="O75" s="95"/>
      <c r="P75" s="95"/>
      <c r="Q75" s="28"/>
      <c r="R75" s="95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95"/>
      <c r="AD75" s="97"/>
      <c r="AE75" s="97"/>
      <c r="AF75" s="97"/>
      <c r="AG75" s="97"/>
      <c r="AH75" s="28"/>
      <c r="AI75" s="28"/>
      <c r="AJ75" s="28"/>
      <c r="AK75" s="28"/>
      <c r="AL75" s="28"/>
      <c r="AM75" s="28"/>
      <c r="AN75" s="28"/>
    </row>
    <row r="76" spans="1:40" ht="12" customHeight="1" x14ac:dyDescent="0.25">
      <c r="A76" s="28"/>
      <c r="B76" s="95"/>
      <c r="C76" s="95"/>
      <c r="D76" s="96"/>
      <c r="E76" s="96"/>
      <c r="F76" s="95"/>
      <c r="G76" s="95"/>
      <c r="H76" s="28"/>
      <c r="I76" s="28"/>
      <c r="J76" s="28"/>
      <c r="K76" s="97"/>
      <c r="L76" s="98"/>
      <c r="M76" s="95"/>
      <c r="N76" s="98"/>
      <c r="O76" s="95"/>
      <c r="P76" s="95"/>
      <c r="Q76" s="28"/>
      <c r="R76" s="95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95"/>
      <c r="AD76" s="97"/>
      <c r="AE76" s="97"/>
      <c r="AF76" s="97"/>
      <c r="AG76" s="97"/>
      <c r="AH76" s="28"/>
      <c r="AI76" s="28"/>
      <c r="AJ76" s="28"/>
      <c r="AK76" s="28"/>
      <c r="AL76" s="28"/>
      <c r="AM76" s="28"/>
      <c r="AN76" s="28"/>
    </row>
    <row r="77" spans="1:40" ht="12" customHeight="1" x14ac:dyDescent="0.25">
      <c r="A77" s="28"/>
      <c r="B77" s="95"/>
      <c r="C77" s="95"/>
      <c r="D77" s="96"/>
      <c r="E77" s="96"/>
      <c r="F77" s="95"/>
      <c r="G77" s="95"/>
      <c r="H77" s="28"/>
      <c r="I77" s="28"/>
      <c r="J77" s="28"/>
      <c r="K77" s="97"/>
      <c r="L77" s="98"/>
      <c r="M77" s="95"/>
      <c r="N77" s="98"/>
      <c r="O77" s="95"/>
      <c r="P77" s="95"/>
      <c r="Q77" s="28"/>
      <c r="R77" s="95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95"/>
      <c r="AD77" s="97"/>
      <c r="AE77" s="97"/>
      <c r="AF77" s="97"/>
      <c r="AG77" s="97"/>
      <c r="AH77" s="28"/>
      <c r="AI77" s="28"/>
      <c r="AJ77" s="28"/>
      <c r="AK77" s="28"/>
      <c r="AL77" s="28"/>
      <c r="AM77" s="28"/>
      <c r="AN77" s="28"/>
    </row>
    <row r="78" spans="1:40" ht="12" customHeight="1" x14ac:dyDescent="0.25">
      <c r="A78" s="28"/>
      <c r="B78" s="95"/>
      <c r="C78" s="95"/>
      <c r="D78" s="96"/>
      <c r="E78" s="96"/>
      <c r="F78" s="95"/>
      <c r="G78" s="95"/>
      <c r="H78" s="28"/>
      <c r="I78" s="28"/>
      <c r="J78" s="28"/>
      <c r="K78" s="97"/>
      <c r="L78" s="98"/>
      <c r="M78" s="95"/>
      <c r="N78" s="98"/>
      <c r="O78" s="95"/>
      <c r="P78" s="95"/>
      <c r="Q78" s="28"/>
      <c r="R78" s="95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95"/>
      <c r="AD78" s="97"/>
      <c r="AE78" s="97"/>
      <c r="AF78" s="97"/>
      <c r="AG78" s="97"/>
      <c r="AH78" s="28"/>
      <c r="AI78" s="28"/>
      <c r="AJ78" s="28"/>
      <c r="AK78" s="28"/>
      <c r="AL78" s="28"/>
      <c r="AM78" s="28"/>
      <c r="AN78" s="28"/>
    </row>
    <row r="79" spans="1:40" ht="12" customHeight="1" x14ac:dyDescent="0.25">
      <c r="A79" s="28"/>
      <c r="B79" s="95"/>
      <c r="C79" s="95"/>
      <c r="D79" s="96"/>
      <c r="E79" s="96"/>
      <c r="F79" s="95"/>
      <c r="G79" s="95"/>
      <c r="H79" s="28"/>
      <c r="I79" s="28"/>
      <c r="J79" s="28"/>
      <c r="K79" s="97"/>
      <c r="L79" s="98"/>
      <c r="M79" s="95"/>
      <c r="N79" s="98"/>
      <c r="O79" s="95"/>
      <c r="P79" s="95"/>
      <c r="Q79" s="28"/>
      <c r="R79" s="95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95"/>
      <c r="AD79" s="97"/>
      <c r="AE79" s="97"/>
      <c r="AF79" s="97"/>
      <c r="AG79" s="97"/>
      <c r="AH79" s="28"/>
      <c r="AI79" s="28"/>
      <c r="AJ79" s="28"/>
      <c r="AK79" s="28"/>
      <c r="AL79" s="28"/>
      <c r="AM79" s="28"/>
      <c r="AN79" s="28"/>
    </row>
    <row r="80" spans="1:40" ht="12" customHeight="1" x14ac:dyDescent="0.25">
      <c r="A80" s="28"/>
      <c r="B80" s="95"/>
      <c r="C80" s="95"/>
      <c r="D80" s="96"/>
      <c r="E80" s="96"/>
      <c r="F80" s="95"/>
      <c r="G80" s="95"/>
      <c r="H80" s="28"/>
      <c r="I80" s="28"/>
      <c r="J80" s="28"/>
      <c r="K80" s="97"/>
      <c r="L80" s="98"/>
      <c r="M80" s="95"/>
      <c r="N80" s="98"/>
      <c r="O80" s="95"/>
      <c r="P80" s="95"/>
      <c r="Q80" s="28"/>
      <c r="R80" s="95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95"/>
      <c r="AD80" s="97"/>
      <c r="AE80" s="97"/>
      <c r="AF80" s="97"/>
      <c r="AG80" s="97"/>
      <c r="AH80" s="28"/>
      <c r="AI80" s="28"/>
      <c r="AJ80" s="28"/>
      <c r="AK80" s="28"/>
      <c r="AL80" s="28"/>
      <c r="AM80" s="28"/>
      <c r="AN80" s="28"/>
    </row>
    <row r="81" spans="1:40" ht="12" customHeight="1" x14ac:dyDescent="0.25">
      <c r="A81" s="28"/>
      <c r="B81" s="95"/>
      <c r="C81" s="95"/>
      <c r="D81" s="96"/>
      <c r="E81" s="96"/>
      <c r="F81" s="95"/>
      <c r="G81" s="95"/>
      <c r="H81" s="28"/>
      <c r="I81" s="28"/>
      <c r="J81" s="28"/>
      <c r="K81" s="97"/>
      <c r="L81" s="98"/>
      <c r="M81" s="95"/>
      <c r="N81" s="98"/>
      <c r="O81" s="95"/>
      <c r="P81" s="95"/>
      <c r="Q81" s="28"/>
      <c r="R81" s="95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95"/>
      <c r="AD81" s="97"/>
      <c r="AE81" s="97"/>
      <c r="AF81" s="97"/>
      <c r="AG81" s="97"/>
      <c r="AH81" s="28"/>
      <c r="AI81" s="28"/>
      <c r="AJ81" s="28"/>
      <c r="AK81" s="28"/>
      <c r="AL81" s="28"/>
      <c r="AM81" s="28"/>
      <c r="AN81" s="28"/>
    </row>
    <row r="82" spans="1:40" ht="12" customHeight="1" x14ac:dyDescent="0.25">
      <c r="A82" s="28"/>
      <c r="B82" s="95"/>
      <c r="C82" s="95"/>
      <c r="D82" s="96"/>
      <c r="E82" s="96"/>
      <c r="F82" s="95"/>
      <c r="G82" s="95"/>
      <c r="H82" s="28"/>
      <c r="I82" s="28"/>
      <c r="J82" s="28"/>
      <c r="K82" s="97"/>
      <c r="L82" s="98"/>
      <c r="M82" s="95"/>
      <c r="N82" s="98"/>
      <c r="O82" s="95"/>
      <c r="P82" s="95"/>
      <c r="Q82" s="28"/>
      <c r="R82" s="95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95"/>
      <c r="AD82" s="97"/>
      <c r="AE82" s="97"/>
      <c r="AF82" s="97"/>
      <c r="AG82" s="97"/>
      <c r="AH82" s="28"/>
      <c r="AI82" s="28"/>
      <c r="AJ82" s="28"/>
      <c r="AK82" s="28"/>
      <c r="AL82" s="28"/>
      <c r="AM82" s="28"/>
      <c r="AN82" s="28"/>
    </row>
    <row r="83" spans="1:40" ht="12" customHeight="1" x14ac:dyDescent="0.25">
      <c r="A83" s="28"/>
      <c r="B83" s="95"/>
      <c r="C83" s="95"/>
      <c r="D83" s="96"/>
      <c r="E83" s="96"/>
      <c r="F83" s="95"/>
      <c r="G83" s="95"/>
      <c r="H83" s="28"/>
      <c r="I83" s="28"/>
      <c r="J83" s="28"/>
      <c r="K83" s="97"/>
      <c r="L83" s="98"/>
      <c r="M83" s="95"/>
      <c r="N83" s="98"/>
      <c r="O83" s="95"/>
      <c r="P83" s="95"/>
      <c r="Q83" s="28"/>
      <c r="R83" s="95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95"/>
      <c r="AD83" s="97"/>
      <c r="AE83" s="97"/>
      <c r="AF83" s="97"/>
      <c r="AG83" s="97"/>
      <c r="AH83" s="28"/>
      <c r="AI83" s="28"/>
      <c r="AJ83" s="28"/>
      <c r="AK83" s="28"/>
      <c r="AL83" s="28"/>
      <c r="AM83" s="28"/>
      <c r="AN83" s="28"/>
    </row>
    <row r="84" spans="1:40" ht="12" customHeight="1" x14ac:dyDescent="0.25">
      <c r="A84" s="28"/>
      <c r="B84" s="95"/>
      <c r="C84" s="95"/>
      <c r="D84" s="96"/>
      <c r="E84" s="96"/>
      <c r="F84" s="95"/>
      <c r="G84" s="95"/>
      <c r="H84" s="28"/>
      <c r="I84" s="28"/>
      <c r="J84" s="28"/>
      <c r="K84" s="97"/>
      <c r="L84" s="98"/>
      <c r="M84" s="95"/>
      <c r="N84" s="98"/>
      <c r="O84" s="95"/>
      <c r="P84" s="95"/>
      <c r="Q84" s="28"/>
      <c r="R84" s="95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95"/>
      <c r="AD84" s="97"/>
      <c r="AE84" s="97"/>
      <c r="AF84" s="97"/>
      <c r="AG84" s="97"/>
      <c r="AH84" s="28"/>
      <c r="AI84" s="28"/>
      <c r="AJ84" s="28"/>
      <c r="AK84" s="28"/>
      <c r="AL84" s="28"/>
      <c r="AM84" s="28"/>
      <c r="AN84" s="28"/>
    </row>
    <row r="85" spans="1:40" ht="12" customHeight="1" x14ac:dyDescent="0.25">
      <c r="A85" s="28"/>
      <c r="B85" s="95"/>
      <c r="C85" s="95"/>
      <c r="D85" s="96"/>
      <c r="E85" s="96"/>
      <c r="F85" s="95"/>
      <c r="G85" s="95"/>
      <c r="H85" s="28"/>
      <c r="I85" s="28"/>
      <c r="J85" s="28"/>
      <c r="K85" s="97"/>
      <c r="L85" s="98"/>
      <c r="M85" s="95"/>
      <c r="N85" s="98"/>
      <c r="O85" s="95"/>
      <c r="P85" s="95"/>
      <c r="Q85" s="28"/>
      <c r="R85" s="95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95"/>
      <c r="AD85" s="97"/>
      <c r="AE85" s="97"/>
      <c r="AF85" s="97"/>
      <c r="AG85" s="97"/>
      <c r="AH85" s="28"/>
      <c r="AI85" s="28"/>
      <c r="AJ85" s="28"/>
      <c r="AK85" s="28"/>
      <c r="AL85" s="28"/>
      <c r="AM85" s="28"/>
      <c r="AN85" s="28"/>
    </row>
    <row r="86" spans="1:40" ht="12" customHeight="1" x14ac:dyDescent="0.25">
      <c r="A86" s="28"/>
      <c r="B86" s="95"/>
      <c r="C86" s="95"/>
      <c r="D86" s="96"/>
      <c r="E86" s="96"/>
      <c r="F86" s="95"/>
      <c r="G86" s="95"/>
      <c r="H86" s="28"/>
      <c r="I86" s="28"/>
      <c r="J86" s="28"/>
      <c r="K86" s="97"/>
      <c r="L86" s="98"/>
      <c r="M86" s="95"/>
      <c r="N86" s="98"/>
      <c r="O86" s="95"/>
      <c r="P86" s="95"/>
      <c r="Q86" s="28"/>
      <c r="R86" s="95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95"/>
      <c r="AD86" s="97"/>
      <c r="AE86" s="97"/>
      <c r="AF86" s="97"/>
      <c r="AG86" s="97"/>
      <c r="AH86" s="28"/>
      <c r="AI86" s="28"/>
      <c r="AJ86" s="28"/>
      <c r="AK86" s="28"/>
      <c r="AL86" s="28"/>
      <c r="AM86" s="28"/>
      <c r="AN86" s="28"/>
    </row>
    <row r="87" spans="1:40" ht="12" customHeight="1" x14ac:dyDescent="0.25">
      <c r="A87" s="28"/>
      <c r="B87" s="95"/>
      <c r="C87" s="95"/>
      <c r="D87" s="96"/>
      <c r="E87" s="96"/>
      <c r="F87" s="95"/>
      <c r="G87" s="95"/>
      <c r="H87" s="28"/>
      <c r="I87" s="28"/>
      <c r="J87" s="28"/>
      <c r="K87" s="97"/>
      <c r="L87" s="98"/>
      <c r="M87" s="95"/>
      <c r="N87" s="98"/>
      <c r="O87" s="95"/>
      <c r="P87" s="95"/>
      <c r="Q87" s="28"/>
      <c r="R87" s="95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95"/>
      <c r="AD87" s="97"/>
      <c r="AE87" s="97"/>
      <c r="AF87" s="97"/>
      <c r="AG87" s="97"/>
      <c r="AH87" s="28"/>
      <c r="AI87" s="28"/>
      <c r="AJ87" s="28"/>
      <c r="AK87" s="28"/>
      <c r="AL87" s="28"/>
      <c r="AM87" s="28"/>
      <c r="AN87" s="28"/>
    </row>
    <row r="88" spans="1:40" ht="12" customHeight="1" x14ac:dyDescent="0.25">
      <c r="A88" s="28"/>
      <c r="B88" s="95"/>
      <c r="C88" s="95"/>
      <c r="D88" s="96"/>
      <c r="E88" s="96"/>
      <c r="F88" s="95"/>
      <c r="G88" s="95"/>
      <c r="H88" s="28"/>
      <c r="I88" s="28"/>
      <c r="J88" s="28"/>
      <c r="K88" s="97"/>
      <c r="L88" s="98"/>
      <c r="M88" s="95"/>
      <c r="N88" s="98"/>
      <c r="O88" s="95"/>
      <c r="P88" s="95"/>
      <c r="Q88" s="28"/>
      <c r="R88" s="9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95"/>
      <c r="AD88" s="97"/>
      <c r="AE88" s="97"/>
      <c r="AF88" s="97"/>
      <c r="AG88" s="97"/>
      <c r="AH88" s="28"/>
      <c r="AI88" s="28"/>
      <c r="AJ88" s="28"/>
      <c r="AK88" s="28"/>
      <c r="AL88" s="28"/>
      <c r="AM88" s="28"/>
      <c r="AN88" s="28"/>
    </row>
    <row r="89" spans="1:40" ht="12" customHeight="1" x14ac:dyDescent="0.25">
      <c r="A89" s="28"/>
      <c r="B89" s="95"/>
      <c r="C89" s="95"/>
      <c r="D89" s="96"/>
      <c r="E89" s="96"/>
      <c r="F89" s="95"/>
      <c r="G89" s="95"/>
      <c r="H89" s="28"/>
      <c r="I89" s="28"/>
      <c r="J89" s="28"/>
      <c r="K89" s="97"/>
      <c r="L89" s="98"/>
      <c r="M89" s="95"/>
      <c r="N89" s="98"/>
      <c r="O89" s="95"/>
      <c r="P89" s="95"/>
      <c r="Q89" s="28"/>
      <c r="R89" s="95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95"/>
      <c r="AD89" s="97"/>
      <c r="AE89" s="97"/>
      <c r="AF89" s="97"/>
      <c r="AG89" s="97"/>
      <c r="AH89" s="28"/>
      <c r="AI89" s="28"/>
      <c r="AJ89" s="28"/>
      <c r="AK89" s="28"/>
      <c r="AL89" s="28"/>
      <c r="AM89" s="28"/>
      <c r="AN89" s="28"/>
    </row>
    <row r="90" spans="1:40" ht="12" customHeight="1" x14ac:dyDescent="0.25">
      <c r="A90" s="28"/>
      <c r="B90" s="95"/>
      <c r="C90" s="95"/>
      <c r="D90" s="96"/>
      <c r="E90" s="96"/>
      <c r="F90" s="95"/>
      <c r="G90" s="95"/>
      <c r="H90" s="28"/>
      <c r="I90" s="28"/>
      <c r="J90" s="28"/>
      <c r="K90" s="97"/>
      <c r="L90" s="98"/>
      <c r="M90" s="95"/>
      <c r="N90" s="98"/>
      <c r="O90" s="95"/>
      <c r="P90" s="95"/>
      <c r="Q90" s="28"/>
      <c r="R90" s="95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95"/>
      <c r="AD90" s="97"/>
      <c r="AE90" s="97"/>
      <c r="AF90" s="97"/>
      <c r="AG90" s="97"/>
      <c r="AH90" s="28"/>
      <c r="AI90" s="28"/>
      <c r="AJ90" s="28"/>
      <c r="AK90" s="28"/>
      <c r="AL90" s="28"/>
      <c r="AM90" s="28"/>
      <c r="AN90" s="28"/>
    </row>
    <row r="91" spans="1:40" ht="12" customHeight="1" x14ac:dyDescent="0.25">
      <c r="A91" s="28"/>
      <c r="B91" s="95"/>
      <c r="C91" s="95"/>
      <c r="D91" s="96"/>
      <c r="E91" s="96"/>
      <c r="F91" s="95"/>
      <c r="G91" s="95"/>
      <c r="H91" s="28"/>
      <c r="I91" s="28"/>
      <c r="J91" s="28"/>
      <c r="K91" s="97"/>
      <c r="L91" s="98"/>
      <c r="M91" s="95"/>
      <c r="N91" s="98"/>
      <c r="O91" s="95"/>
      <c r="P91" s="95"/>
      <c r="Q91" s="28"/>
      <c r="R91" s="95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95"/>
      <c r="AD91" s="97"/>
      <c r="AE91" s="97"/>
      <c r="AF91" s="97"/>
      <c r="AG91" s="97"/>
      <c r="AH91" s="28"/>
      <c r="AI91" s="28"/>
      <c r="AJ91" s="28"/>
      <c r="AK91" s="28"/>
      <c r="AL91" s="28"/>
      <c r="AM91" s="28"/>
      <c r="AN91" s="28"/>
    </row>
    <row r="92" spans="1:40" ht="12" customHeight="1" x14ac:dyDescent="0.25">
      <c r="A92" s="28"/>
      <c r="B92" s="95"/>
      <c r="C92" s="95"/>
      <c r="D92" s="96"/>
      <c r="E92" s="96"/>
      <c r="F92" s="95"/>
      <c r="G92" s="95"/>
      <c r="H92" s="28"/>
      <c r="I92" s="28"/>
      <c r="J92" s="28"/>
      <c r="K92" s="97"/>
      <c r="L92" s="98"/>
      <c r="M92" s="95"/>
      <c r="N92" s="98"/>
      <c r="O92" s="95"/>
      <c r="P92" s="95"/>
      <c r="Q92" s="28"/>
      <c r="R92" s="95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95"/>
      <c r="AD92" s="97"/>
      <c r="AE92" s="97"/>
      <c r="AF92" s="97"/>
      <c r="AG92" s="97"/>
      <c r="AH92" s="28"/>
      <c r="AI92" s="28"/>
      <c r="AJ92" s="28"/>
      <c r="AK92" s="28"/>
      <c r="AL92" s="28"/>
      <c r="AM92" s="28"/>
      <c r="AN92" s="28"/>
    </row>
    <row r="93" spans="1:40" ht="12" customHeight="1" x14ac:dyDescent="0.25">
      <c r="A93" s="28"/>
      <c r="B93" s="95"/>
      <c r="C93" s="95"/>
      <c r="D93" s="96"/>
      <c r="E93" s="96"/>
      <c r="F93" s="95"/>
      <c r="G93" s="95"/>
      <c r="H93" s="28"/>
      <c r="I93" s="28"/>
      <c r="J93" s="28"/>
      <c r="K93" s="97"/>
      <c r="L93" s="98"/>
      <c r="M93" s="95"/>
      <c r="N93" s="98"/>
      <c r="O93" s="95"/>
      <c r="P93" s="95"/>
      <c r="Q93" s="28"/>
      <c r="R93" s="95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95"/>
      <c r="AD93" s="97"/>
      <c r="AE93" s="97"/>
      <c r="AF93" s="97"/>
      <c r="AG93" s="97"/>
      <c r="AH93" s="28"/>
      <c r="AI93" s="28"/>
      <c r="AJ93" s="28"/>
      <c r="AK93" s="28"/>
      <c r="AL93" s="28"/>
      <c r="AM93" s="28"/>
      <c r="AN93" s="28"/>
    </row>
    <row r="94" spans="1:40" ht="12" customHeight="1" x14ac:dyDescent="0.25">
      <c r="A94" s="28"/>
      <c r="B94" s="95"/>
      <c r="C94" s="95"/>
      <c r="D94" s="96"/>
      <c r="E94" s="96"/>
      <c r="F94" s="95"/>
      <c r="G94" s="95"/>
      <c r="H94" s="28"/>
      <c r="I94" s="28"/>
      <c r="J94" s="28"/>
      <c r="K94" s="97"/>
      <c r="L94" s="98"/>
      <c r="M94" s="95"/>
      <c r="N94" s="98"/>
      <c r="O94" s="95"/>
      <c r="P94" s="95"/>
      <c r="Q94" s="28"/>
      <c r="R94" s="95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95"/>
      <c r="AD94" s="97"/>
      <c r="AE94" s="97"/>
      <c r="AF94" s="97"/>
      <c r="AG94" s="97"/>
      <c r="AH94" s="28"/>
      <c r="AI94" s="28"/>
      <c r="AJ94" s="28"/>
      <c r="AK94" s="28"/>
      <c r="AL94" s="28"/>
      <c r="AM94" s="28"/>
      <c r="AN94" s="28"/>
    </row>
    <row r="95" spans="1:40" ht="12" customHeight="1" x14ac:dyDescent="0.25">
      <c r="A95" s="28"/>
      <c r="B95" s="95"/>
      <c r="C95" s="95"/>
      <c r="D95" s="96"/>
      <c r="E95" s="96"/>
      <c r="F95" s="95"/>
      <c r="G95" s="95"/>
      <c r="H95" s="28"/>
      <c r="I95" s="28"/>
      <c r="J95" s="28"/>
      <c r="K95" s="97"/>
      <c r="L95" s="98"/>
      <c r="M95" s="95"/>
      <c r="N95" s="98"/>
      <c r="O95" s="95"/>
      <c r="P95" s="95"/>
      <c r="Q95" s="28"/>
      <c r="R95" s="95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95"/>
      <c r="AD95" s="97"/>
      <c r="AE95" s="97"/>
      <c r="AF95" s="97"/>
      <c r="AG95" s="97"/>
      <c r="AH95" s="28"/>
      <c r="AI95" s="28"/>
      <c r="AJ95" s="28"/>
      <c r="AK95" s="28"/>
      <c r="AL95" s="28"/>
      <c r="AM95" s="28"/>
      <c r="AN95" s="28"/>
    </row>
    <row r="96" spans="1:40" ht="12" customHeight="1" x14ac:dyDescent="0.25">
      <c r="A96" s="28"/>
      <c r="B96" s="95"/>
      <c r="C96" s="95"/>
      <c r="D96" s="96"/>
      <c r="E96" s="96"/>
      <c r="F96" s="95"/>
      <c r="G96" s="95"/>
      <c r="H96" s="28"/>
      <c r="I96" s="28"/>
      <c r="J96" s="28"/>
      <c r="K96" s="97"/>
      <c r="L96" s="98"/>
      <c r="M96" s="95"/>
      <c r="N96" s="98"/>
      <c r="O96" s="95"/>
      <c r="P96" s="95"/>
      <c r="Q96" s="28"/>
      <c r="R96" s="95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95"/>
      <c r="AD96" s="97"/>
      <c r="AE96" s="97"/>
      <c r="AF96" s="97"/>
      <c r="AG96" s="97"/>
      <c r="AH96" s="28"/>
      <c r="AI96" s="28"/>
      <c r="AJ96" s="28"/>
      <c r="AK96" s="28"/>
      <c r="AL96" s="28"/>
      <c r="AM96" s="28"/>
      <c r="AN96" s="28"/>
    </row>
    <row r="97" spans="1:40" ht="12" customHeight="1" x14ac:dyDescent="0.25">
      <c r="A97" s="28"/>
      <c r="B97" s="95"/>
      <c r="C97" s="95"/>
      <c r="D97" s="96"/>
      <c r="E97" s="96"/>
      <c r="F97" s="95"/>
      <c r="G97" s="95"/>
      <c r="H97" s="28"/>
      <c r="I97" s="28"/>
      <c r="J97" s="28"/>
      <c r="K97" s="97"/>
      <c r="L97" s="98"/>
      <c r="M97" s="95"/>
      <c r="N97" s="98"/>
      <c r="O97" s="95"/>
      <c r="P97" s="95"/>
      <c r="Q97" s="28"/>
      <c r="R97" s="95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95"/>
      <c r="AD97" s="97"/>
      <c r="AE97" s="97"/>
      <c r="AF97" s="97"/>
      <c r="AG97" s="97"/>
      <c r="AH97" s="28"/>
      <c r="AI97" s="28"/>
      <c r="AJ97" s="28"/>
      <c r="AK97" s="28"/>
      <c r="AL97" s="28"/>
      <c r="AM97" s="28"/>
      <c r="AN97" s="28"/>
    </row>
    <row r="98" spans="1:40" ht="12" customHeight="1" x14ac:dyDescent="0.25">
      <c r="A98" s="28"/>
      <c r="B98" s="95"/>
      <c r="C98" s="95"/>
      <c r="D98" s="96"/>
      <c r="E98" s="96"/>
      <c r="F98" s="95"/>
      <c r="G98" s="95"/>
      <c r="H98" s="28"/>
      <c r="I98" s="28"/>
      <c r="J98" s="28"/>
      <c r="K98" s="97"/>
      <c r="L98" s="98"/>
      <c r="M98" s="95"/>
      <c r="N98" s="98"/>
      <c r="O98" s="95"/>
      <c r="P98" s="95"/>
      <c r="Q98" s="28"/>
      <c r="R98" s="95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95"/>
      <c r="AD98" s="97"/>
      <c r="AE98" s="97"/>
      <c r="AF98" s="97"/>
      <c r="AG98" s="97"/>
      <c r="AH98" s="28"/>
      <c r="AI98" s="28"/>
      <c r="AJ98" s="28"/>
      <c r="AK98" s="28"/>
      <c r="AL98" s="28"/>
      <c r="AM98" s="28"/>
      <c r="AN98" s="28"/>
    </row>
    <row r="99" spans="1:40" ht="12" customHeight="1" x14ac:dyDescent="0.25">
      <c r="A99" s="28"/>
      <c r="B99" s="95"/>
      <c r="C99" s="95"/>
      <c r="D99" s="96"/>
      <c r="E99" s="96"/>
      <c r="F99" s="95"/>
      <c r="G99" s="95"/>
      <c r="H99" s="28"/>
      <c r="I99" s="28"/>
      <c r="J99" s="28"/>
      <c r="K99" s="97"/>
      <c r="L99" s="98"/>
      <c r="M99" s="95"/>
      <c r="N99" s="98"/>
      <c r="O99" s="95"/>
      <c r="P99" s="95"/>
      <c r="Q99" s="28"/>
      <c r="R99" s="95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95"/>
      <c r="AD99" s="97"/>
      <c r="AE99" s="97"/>
      <c r="AF99" s="97"/>
      <c r="AG99" s="97"/>
      <c r="AH99" s="28"/>
      <c r="AI99" s="28"/>
      <c r="AJ99" s="28"/>
      <c r="AK99" s="28"/>
      <c r="AL99" s="28"/>
      <c r="AM99" s="28"/>
      <c r="AN99" s="28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7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O31" sqref="O31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97"/>
      <c r="M1" s="98"/>
      <c r="N1" s="97"/>
      <c r="O1" s="98"/>
      <c r="P1" s="98"/>
      <c r="Q1" s="97"/>
      <c r="R1" s="189"/>
      <c r="S1" s="189"/>
      <c r="T1" s="190"/>
      <c r="U1" s="28"/>
      <c r="V1" s="95"/>
      <c r="W1" s="95"/>
      <c r="X1" s="95"/>
      <c r="Y1" s="95"/>
      <c r="Z1" s="95"/>
      <c r="AA1" s="95"/>
      <c r="AB1" s="95"/>
      <c r="AC1" s="28"/>
      <c r="AD1" s="28"/>
      <c r="AE1" s="28"/>
      <c r="AF1" s="28"/>
      <c r="AG1" s="28"/>
      <c r="AH1" s="28"/>
      <c r="AI1" s="28"/>
    </row>
    <row r="2" spans="1:35" ht="20.25" customHeight="1" x14ac:dyDescent="0.25">
      <c r="A2" s="191" t="s">
        <v>95</v>
      </c>
      <c r="B2" s="191" t="s">
        <v>4</v>
      </c>
      <c r="C2" s="191" t="s">
        <v>6</v>
      </c>
      <c r="D2" s="191" t="s">
        <v>5</v>
      </c>
      <c r="E2" s="191" t="s">
        <v>7</v>
      </c>
      <c r="F2" s="191" t="s">
        <v>8</v>
      </c>
      <c r="G2" s="191" t="s">
        <v>96</v>
      </c>
      <c r="H2" s="191" t="s">
        <v>10</v>
      </c>
      <c r="I2" s="191" t="s">
        <v>11</v>
      </c>
      <c r="J2" s="191" t="s">
        <v>97</v>
      </c>
      <c r="K2" s="191" t="s">
        <v>98</v>
      </c>
      <c r="L2" s="192" t="s">
        <v>15</v>
      </c>
      <c r="M2" s="192" t="s">
        <v>99</v>
      </c>
      <c r="N2" s="192" t="s">
        <v>100</v>
      </c>
      <c r="O2" s="192" t="s">
        <v>17</v>
      </c>
      <c r="P2" s="192" t="s">
        <v>18</v>
      </c>
      <c r="Q2" s="192" t="s">
        <v>14</v>
      </c>
      <c r="R2" s="193" t="s">
        <v>101</v>
      </c>
      <c r="S2" s="194" t="s">
        <v>102</v>
      </c>
      <c r="T2" s="192" t="s">
        <v>103</v>
      </c>
      <c r="U2" s="191" t="s">
        <v>20</v>
      </c>
      <c r="V2" s="192" t="s">
        <v>104</v>
      </c>
      <c r="W2" s="191" t="s">
        <v>21</v>
      </c>
      <c r="X2" s="191" t="s">
        <v>105</v>
      </c>
      <c r="Y2" s="191" t="s">
        <v>22</v>
      </c>
      <c r="Z2" s="191" t="s">
        <v>23</v>
      </c>
      <c r="AA2" s="191" t="s">
        <v>106</v>
      </c>
      <c r="AB2" s="191" t="s">
        <v>26</v>
      </c>
      <c r="AC2" s="191" t="s">
        <v>27</v>
      </c>
      <c r="AD2" s="195" t="s">
        <v>107</v>
      </c>
      <c r="AE2" s="196" t="s">
        <v>108</v>
      </c>
      <c r="AF2" s="191" t="s">
        <v>109</v>
      </c>
      <c r="AG2" s="191" t="s">
        <v>108</v>
      </c>
      <c r="AH2" s="191" t="s">
        <v>110</v>
      </c>
      <c r="AI2" s="191" t="s">
        <v>111</v>
      </c>
    </row>
    <row r="3" spans="1:35" ht="30" customHeight="1" x14ac:dyDescent="0.25">
      <c r="A3" s="197" t="s">
        <v>112</v>
      </c>
      <c r="B3" s="197" t="s">
        <v>113</v>
      </c>
      <c r="C3" s="197"/>
      <c r="D3" s="197" t="s">
        <v>114</v>
      </c>
      <c r="E3" s="197" t="s">
        <v>115</v>
      </c>
      <c r="F3" s="197" t="s">
        <v>116</v>
      </c>
      <c r="G3" s="197" t="s">
        <v>117</v>
      </c>
      <c r="H3" s="197" t="s">
        <v>118</v>
      </c>
      <c r="I3" s="197"/>
      <c r="J3" s="197" t="s">
        <v>119</v>
      </c>
      <c r="K3" s="197" t="s">
        <v>120</v>
      </c>
      <c r="L3" s="198" t="s">
        <v>121</v>
      </c>
      <c r="M3" s="198"/>
      <c r="N3" s="198" t="s">
        <v>122</v>
      </c>
      <c r="O3" s="198" t="s">
        <v>123</v>
      </c>
      <c r="P3" s="198" t="s">
        <v>124</v>
      </c>
      <c r="Q3" s="198" t="s">
        <v>125</v>
      </c>
      <c r="R3" s="199" t="s">
        <v>126</v>
      </c>
      <c r="S3" s="200" t="s">
        <v>127</v>
      </c>
      <c r="T3" s="201" t="s">
        <v>127</v>
      </c>
      <c r="U3" s="197" t="s">
        <v>128</v>
      </c>
      <c r="V3" s="198" t="s">
        <v>129</v>
      </c>
      <c r="W3" s="197" t="s">
        <v>130</v>
      </c>
      <c r="X3" s="197" t="s">
        <v>131</v>
      </c>
      <c r="Y3" s="197" t="s">
        <v>132</v>
      </c>
      <c r="Z3" s="197" t="s">
        <v>133</v>
      </c>
      <c r="AA3" s="197" t="s">
        <v>134</v>
      </c>
      <c r="AB3" s="197"/>
      <c r="AC3" s="197" t="s">
        <v>135</v>
      </c>
      <c r="AD3" s="202" t="s">
        <v>136</v>
      </c>
      <c r="AE3" s="203" t="s">
        <v>137</v>
      </c>
      <c r="AF3" s="197"/>
      <c r="AG3" s="197" t="s">
        <v>138</v>
      </c>
      <c r="AH3" s="197"/>
      <c r="AI3" s="197" t="s">
        <v>139</v>
      </c>
    </row>
    <row r="4" spans="1:35" ht="43.5" customHeight="1" x14ac:dyDescent="0.25">
      <c r="A4" s="204" t="s">
        <v>35</v>
      </c>
      <c r="B4" s="205" t="s">
        <v>36</v>
      </c>
      <c r="C4" s="206" t="s">
        <v>140</v>
      </c>
      <c r="D4" s="207" t="s">
        <v>141</v>
      </c>
      <c r="E4" s="208" t="s">
        <v>142</v>
      </c>
      <c r="F4" s="209">
        <v>1000</v>
      </c>
      <c r="G4" s="210">
        <v>1</v>
      </c>
      <c r="H4" s="210">
        <f t="shared" ref="H4:H5" si="0">F4*G4</f>
        <v>1000</v>
      </c>
      <c r="I4" s="211">
        <f>IMP_Details!AU4</f>
        <v>9208014</v>
      </c>
      <c r="J4" s="204"/>
      <c r="K4" s="212"/>
      <c r="L4" s="204" t="s">
        <v>143</v>
      </c>
      <c r="M4" s="213" t="s">
        <v>144</v>
      </c>
      <c r="N4" s="204" t="s">
        <v>145</v>
      </c>
      <c r="O4" s="213" t="s">
        <v>146</v>
      </c>
      <c r="P4" s="214">
        <v>45309</v>
      </c>
      <c r="Q4" s="204" t="s">
        <v>147</v>
      </c>
      <c r="R4" s="215">
        <v>45369</v>
      </c>
      <c r="S4" s="214"/>
      <c r="T4" s="216" t="s">
        <v>148</v>
      </c>
      <c r="U4" s="204" t="s">
        <v>149</v>
      </c>
      <c r="V4" s="214" t="s">
        <v>150</v>
      </c>
      <c r="W4" s="214" t="s">
        <v>150</v>
      </c>
      <c r="X4" s="214"/>
      <c r="Y4" s="214">
        <v>45309</v>
      </c>
      <c r="Z4" s="214">
        <v>45310</v>
      </c>
      <c r="AA4" s="214"/>
      <c r="AB4" s="208" t="s">
        <v>151</v>
      </c>
      <c r="AC4" s="204"/>
      <c r="AD4" s="217" t="s">
        <v>44</v>
      </c>
      <c r="AE4" s="218"/>
      <c r="AF4" s="219"/>
      <c r="AG4" s="220"/>
      <c r="AH4" s="220"/>
      <c r="AI4" s="221"/>
    </row>
    <row r="5" spans="1:35" ht="43.5" customHeight="1" x14ac:dyDescent="0.25">
      <c r="A5" s="80" t="s">
        <v>152</v>
      </c>
      <c r="B5" s="222" t="s">
        <v>50</v>
      </c>
      <c r="C5" s="223" t="s">
        <v>140</v>
      </c>
      <c r="D5" s="80" t="s">
        <v>153</v>
      </c>
      <c r="E5" s="81" t="s">
        <v>142</v>
      </c>
      <c r="F5" s="82">
        <v>2000</v>
      </c>
      <c r="G5" s="93">
        <v>2</v>
      </c>
      <c r="H5" s="93">
        <f t="shared" si="0"/>
        <v>4000</v>
      </c>
      <c r="I5" s="224">
        <f>IMP_Details!AU5</f>
        <v>111616121.90000001</v>
      </c>
      <c r="J5" s="80"/>
      <c r="K5" s="87"/>
      <c r="L5" s="80" t="s">
        <v>143</v>
      </c>
      <c r="M5" s="86" t="s">
        <v>144</v>
      </c>
      <c r="N5" s="80" t="s">
        <v>145</v>
      </c>
      <c r="O5" s="86" t="s">
        <v>154</v>
      </c>
      <c r="P5" s="79">
        <v>45314</v>
      </c>
      <c r="Q5" s="80" t="s">
        <v>147</v>
      </c>
      <c r="R5" s="215">
        <v>45374</v>
      </c>
      <c r="S5" s="79"/>
      <c r="T5" s="225" t="s">
        <v>155</v>
      </c>
      <c r="U5" s="80" t="s">
        <v>149</v>
      </c>
      <c r="V5" s="79">
        <v>45315</v>
      </c>
      <c r="W5" s="79">
        <v>45315</v>
      </c>
      <c r="X5" s="79"/>
      <c r="Y5" s="79">
        <v>45316</v>
      </c>
      <c r="Z5" s="79">
        <v>45317</v>
      </c>
      <c r="AA5" s="79"/>
      <c r="AB5" s="81" t="s">
        <v>151</v>
      </c>
      <c r="AC5" s="80"/>
      <c r="AD5" s="226" t="s">
        <v>44</v>
      </c>
      <c r="AE5" s="227">
        <f>I5</f>
        <v>111616121.90000001</v>
      </c>
      <c r="AF5" s="228">
        <f>IMP_Details!T5</f>
        <v>26339.59</v>
      </c>
      <c r="AG5" s="229">
        <f>ROUND(AE5/AF5/F5,2)</f>
        <v>2.12</v>
      </c>
      <c r="AH5" s="229">
        <f>AG5+G5</f>
        <v>4.12</v>
      </c>
      <c r="AI5" s="230">
        <f>ROUND(AG5/AH5,3)</f>
        <v>0.51500000000000001</v>
      </c>
    </row>
    <row r="6" spans="1:35" ht="38.25" customHeight="1" x14ac:dyDescent="0.25">
      <c r="A6" s="231"/>
      <c r="B6" s="222"/>
      <c r="C6" s="222"/>
      <c r="D6" s="232"/>
      <c r="E6" s="222"/>
      <c r="F6" s="233"/>
      <c r="G6" s="234"/>
      <c r="H6" s="234"/>
      <c r="I6" s="235"/>
      <c r="J6" s="236"/>
      <c r="K6" s="237"/>
      <c r="L6" s="231"/>
      <c r="M6" s="238"/>
      <c r="N6" s="231"/>
      <c r="O6" s="238"/>
      <c r="P6" s="239"/>
      <c r="Q6" s="80"/>
      <c r="R6" s="215"/>
      <c r="S6" s="240"/>
      <c r="T6" s="241"/>
      <c r="U6" s="231"/>
      <c r="V6" s="240"/>
      <c r="W6" s="240"/>
      <c r="X6" s="240"/>
      <c r="Y6" s="240"/>
      <c r="Z6" s="240"/>
      <c r="AA6" s="79"/>
      <c r="AB6" s="222"/>
      <c r="AC6" s="231"/>
      <c r="AD6" s="242"/>
      <c r="AE6" s="243"/>
      <c r="AF6" s="244"/>
      <c r="AG6" s="245"/>
      <c r="AH6" s="245"/>
      <c r="AI6" s="246"/>
    </row>
    <row r="7" spans="1:35" ht="38.25" customHeight="1" x14ac:dyDescent="0.25">
      <c r="A7" s="231"/>
      <c r="B7" s="222"/>
      <c r="C7" s="222"/>
      <c r="D7" s="232"/>
      <c r="E7" s="222"/>
      <c r="F7" s="233"/>
      <c r="G7" s="234"/>
      <c r="H7" s="234"/>
      <c r="I7" s="235"/>
      <c r="J7" s="236"/>
      <c r="K7" s="237"/>
      <c r="L7" s="231"/>
      <c r="M7" s="238"/>
      <c r="N7" s="231"/>
      <c r="O7" s="238"/>
      <c r="P7" s="239"/>
      <c r="Q7" s="80"/>
      <c r="R7" s="215"/>
      <c r="S7" s="240"/>
      <c r="T7" s="241"/>
      <c r="U7" s="231"/>
      <c r="V7" s="240"/>
      <c r="W7" s="240"/>
      <c r="X7" s="240"/>
      <c r="Y7" s="240"/>
      <c r="Z7" s="240"/>
      <c r="AA7" s="79"/>
      <c r="AB7" s="222"/>
      <c r="AC7" s="231"/>
      <c r="AD7" s="242"/>
      <c r="AE7" s="243"/>
      <c r="AF7" s="244"/>
      <c r="AG7" s="245"/>
      <c r="AH7" s="245"/>
      <c r="AI7" s="246"/>
    </row>
    <row r="8" spans="1:35" ht="38.25" customHeight="1" x14ac:dyDescent="0.25">
      <c r="A8" s="231"/>
      <c r="B8" s="222"/>
      <c r="C8" s="222"/>
      <c r="D8" s="232"/>
      <c r="E8" s="222"/>
      <c r="F8" s="233"/>
      <c r="G8" s="234"/>
      <c r="H8" s="234"/>
      <c r="I8" s="235"/>
      <c r="J8" s="236"/>
      <c r="K8" s="237"/>
      <c r="L8" s="231"/>
      <c r="M8" s="238"/>
      <c r="N8" s="231"/>
      <c r="O8" s="238"/>
      <c r="P8" s="239"/>
      <c r="Q8" s="80"/>
      <c r="R8" s="215"/>
      <c r="S8" s="240"/>
      <c r="T8" s="241"/>
      <c r="U8" s="231"/>
      <c r="V8" s="240"/>
      <c r="W8" s="240"/>
      <c r="X8" s="240"/>
      <c r="Y8" s="240"/>
      <c r="Z8" s="240"/>
      <c r="AA8" s="79"/>
      <c r="AB8" s="222"/>
      <c r="AC8" s="231"/>
      <c r="AD8" s="242"/>
      <c r="AE8" s="243"/>
      <c r="AF8" s="244"/>
      <c r="AG8" s="245"/>
      <c r="AH8" s="245"/>
      <c r="AI8" s="246"/>
    </row>
    <row r="9" spans="1:35" ht="38.25" customHeight="1" x14ac:dyDescent="0.25">
      <c r="A9" s="231"/>
      <c r="B9" s="222"/>
      <c r="C9" s="222"/>
      <c r="D9" s="232"/>
      <c r="E9" s="222"/>
      <c r="F9" s="233"/>
      <c r="G9" s="234"/>
      <c r="H9" s="234"/>
      <c r="I9" s="235"/>
      <c r="J9" s="236"/>
      <c r="K9" s="237"/>
      <c r="L9" s="231"/>
      <c r="M9" s="238"/>
      <c r="N9" s="231"/>
      <c r="O9" s="238"/>
      <c r="P9" s="239"/>
      <c r="Q9" s="80"/>
      <c r="R9" s="215"/>
      <c r="S9" s="240"/>
      <c r="T9" s="241"/>
      <c r="U9" s="231"/>
      <c r="V9" s="240"/>
      <c r="W9" s="240"/>
      <c r="X9" s="240"/>
      <c r="Y9" s="240"/>
      <c r="Z9" s="240"/>
      <c r="AA9" s="79"/>
      <c r="AB9" s="222"/>
      <c r="AC9" s="231"/>
      <c r="AD9" s="242"/>
      <c r="AE9" s="243"/>
      <c r="AF9" s="244"/>
      <c r="AG9" s="245"/>
      <c r="AH9" s="245"/>
      <c r="AI9" s="246"/>
    </row>
    <row r="10" spans="1:35" ht="38.25" customHeight="1" x14ac:dyDescent="0.25">
      <c r="A10" s="231"/>
      <c r="B10" s="222"/>
      <c r="C10" s="222"/>
      <c r="D10" s="232"/>
      <c r="E10" s="222"/>
      <c r="F10" s="233"/>
      <c r="G10" s="234"/>
      <c r="H10" s="234"/>
      <c r="I10" s="235"/>
      <c r="J10" s="236"/>
      <c r="K10" s="237"/>
      <c r="L10" s="231"/>
      <c r="M10" s="238"/>
      <c r="N10" s="231"/>
      <c r="O10" s="238"/>
      <c r="P10" s="239"/>
      <c r="Q10" s="80"/>
      <c r="R10" s="247"/>
      <c r="S10" s="240"/>
      <c r="T10" s="241"/>
      <c r="U10" s="231"/>
      <c r="V10" s="240"/>
      <c r="W10" s="240"/>
      <c r="X10" s="240"/>
      <c r="Y10" s="240"/>
      <c r="Z10" s="240"/>
      <c r="AA10" s="79"/>
      <c r="AB10" s="222"/>
      <c r="AC10" s="231"/>
      <c r="AD10" s="242"/>
      <c r="AE10" s="243"/>
      <c r="AF10" s="244"/>
      <c r="AG10" s="245"/>
      <c r="AH10" s="245"/>
      <c r="AI10" s="246"/>
    </row>
    <row r="11" spans="1:35" ht="38.25" customHeight="1" x14ac:dyDescent="0.25">
      <c r="A11" s="231"/>
      <c r="B11" s="222"/>
      <c r="C11" s="222"/>
      <c r="D11" s="232"/>
      <c r="E11" s="222"/>
      <c r="F11" s="233"/>
      <c r="G11" s="234"/>
      <c r="H11" s="234"/>
      <c r="I11" s="235"/>
      <c r="J11" s="236"/>
      <c r="K11" s="237"/>
      <c r="L11" s="231"/>
      <c r="M11" s="238"/>
      <c r="N11" s="231"/>
      <c r="O11" s="238"/>
      <c r="P11" s="239"/>
      <c r="Q11" s="80"/>
      <c r="R11" s="215"/>
      <c r="S11" s="240"/>
      <c r="T11" s="241"/>
      <c r="U11" s="231"/>
      <c r="V11" s="240"/>
      <c r="W11" s="240"/>
      <c r="X11" s="240"/>
      <c r="Y11" s="240"/>
      <c r="Z11" s="240"/>
      <c r="AA11" s="79"/>
      <c r="AB11" s="222"/>
      <c r="AC11" s="231"/>
      <c r="AD11" s="242"/>
      <c r="AE11" s="243"/>
      <c r="AF11" s="244"/>
      <c r="AG11" s="245"/>
      <c r="AH11" s="245"/>
      <c r="AI11" s="246"/>
    </row>
    <row r="12" spans="1:35" ht="38.25" customHeight="1" x14ac:dyDescent="0.25">
      <c r="A12" s="231"/>
      <c r="B12" s="222"/>
      <c r="C12" s="222"/>
      <c r="D12" s="232"/>
      <c r="E12" s="222"/>
      <c r="F12" s="233"/>
      <c r="G12" s="234"/>
      <c r="H12" s="234"/>
      <c r="I12" s="235"/>
      <c r="J12" s="236"/>
      <c r="K12" s="237"/>
      <c r="L12" s="231"/>
      <c r="M12" s="238"/>
      <c r="N12" s="231"/>
      <c r="O12" s="238"/>
      <c r="P12" s="239"/>
      <c r="Q12" s="80"/>
      <c r="R12" s="215"/>
      <c r="S12" s="240"/>
      <c r="T12" s="241"/>
      <c r="U12" s="231"/>
      <c r="V12" s="240"/>
      <c r="W12" s="240"/>
      <c r="X12" s="240"/>
      <c r="Y12" s="240"/>
      <c r="Z12" s="240"/>
      <c r="AA12" s="79"/>
      <c r="AB12" s="222"/>
      <c r="AC12" s="231"/>
      <c r="AD12" s="242"/>
      <c r="AE12" s="243"/>
      <c r="AF12" s="244"/>
      <c r="AG12" s="245"/>
      <c r="AH12" s="245"/>
      <c r="AI12" s="246"/>
    </row>
    <row r="13" spans="1:35" ht="38.25" customHeight="1" x14ac:dyDescent="0.25">
      <c r="A13" s="231"/>
      <c r="B13" s="222"/>
      <c r="C13" s="222"/>
      <c r="D13" s="232"/>
      <c r="E13" s="222"/>
      <c r="F13" s="233"/>
      <c r="G13" s="234"/>
      <c r="H13" s="234"/>
      <c r="I13" s="235"/>
      <c r="J13" s="236"/>
      <c r="K13" s="237"/>
      <c r="L13" s="231"/>
      <c r="M13" s="238"/>
      <c r="N13" s="231"/>
      <c r="O13" s="238"/>
      <c r="P13" s="239"/>
      <c r="Q13" s="80"/>
      <c r="R13" s="215"/>
      <c r="S13" s="240"/>
      <c r="T13" s="241"/>
      <c r="U13" s="231"/>
      <c r="V13" s="240"/>
      <c r="W13" s="240"/>
      <c r="X13" s="240"/>
      <c r="Y13" s="240"/>
      <c r="Z13" s="240"/>
      <c r="AA13" s="79"/>
      <c r="AB13" s="222"/>
      <c r="AC13" s="231"/>
      <c r="AD13" s="242"/>
      <c r="AE13" s="243"/>
      <c r="AF13" s="244">
        <f>IMP_Details!T10</f>
        <v>0</v>
      </c>
      <c r="AG13" s="245"/>
      <c r="AH13" s="245"/>
      <c r="AI13" s="246"/>
    </row>
    <row r="14" spans="1:35" ht="12" customHeight="1" x14ac:dyDescent="0.2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97"/>
      <c r="M14" s="98"/>
      <c r="N14" s="97"/>
      <c r="O14" s="98"/>
      <c r="P14" s="98"/>
      <c r="Q14" s="97"/>
      <c r="R14" s="189"/>
      <c r="S14" s="189"/>
      <c r="T14" s="190"/>
      <c r="U14" s="28"/>
      <c r="V14" s="95"/>
      <c r="W14" s="95"/>
      <c r="X14" s="95"/>
      <c r="Y14" s="95"/>
      <c r="Z14" s="95"/>
      <c r="AA14" s="95"/>
      <c r="AB14" s="95"/>
      <c r="AC14" s="28"/>
      <c r="AD14" s="28"/>
      <c r="AE14" s="28"/>
      <c r="AF14" s="28"/>
      <c r="AG14" s="28"/>
      <c r="AH14" s="28"/>
      <c r="AI14" s="28"/>
    </row>
    <row r="15" spans="1:35" ht="12" customHeight="1" x14ac:dyDescent="0.25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97"/>
      <c r="M15" s="98"/>
      <c r="N15" s="97"/>
      <c r="O15" s="98"/>
      <c r="P15" s="98"/>
      <c r="Q15" s="97"/>
      <c r="R15" s="189"/>
      <c r="S15" s="189"/>
      <c r="T15" s="190"/>
      <c r="U15" s="28"/>
      <c r="V15" s="95"/>
      <c r="W15" s="95"/>
      <c r="X15" s="95"/>
      <c r="Y15" s="95"/>
      <c r="Z15" s="95"/>
      <c r="AA15" s="95"/>
      <c r="AB15" s="95"/>
      <c r="AC15" s="28"/>
      <c r="AD15" s="28"/>
      <c r="AE15" s="28"/>
      <c r="AF15" s="28"/>
      <c r="AG15" s="28"/>
      <c r="AH15" s="28"/>
      <c r="AI15" s="28"/>
    </row>
    <row r="16" spans="1:35" ht="12" customHeight="1" x14ac:dyDescent="0.25">
      <c r="A16" s="28"/>
      <c r="B16" s="248"/>
      <c r="C16" s="28"/>
      <c r="D16" s="28"/>
      <c r="E16" s="249"/>
      <c r="F16" s="250"/>
      <c r="G16" s="28"/>
      <c r="H16" s="28"/>
      <c r="I16" s="28"/>
      <c r="J16" s="28"/>
      <c r="K16" s="28"/>
      <c r="L16" s="97"/>
      <c r="M16" s="98"/>
      <c r="N16" s="97"/>
      <c r="O16" s="98"/>
      <c r="P16" s="98"/>
      <c r="Q16" s="97"/>
      <c r="R16" s="189"/>
      <c r="S16" s="189"/>
      <c r="T16" s="190"/>
      <c r="U16" s="28"/>
      <c r="V16" s="95"/>
      <c r="W16" s="95"/>
      <c r="X16" s="95"/>
      <c r="Y16" s="95"/>
      <c r="Z16" s="95"/>
      <c r="AA16" s="95"/>
      <c r="AB16" s="95"/>
      <c r="AC16" s="28"/>
      <c r="AD16" s="28"/>
      <c r="AE16" s="28"/>
      <c r="AF16" s="28"/>
      <c r="AG16" s="28"/>
      <c r="AH16" s="28"/>
      <c r="AI16" s="28"/>
    </row>
    <row r="17" spans="1:35" ht="12" customHeight="1" x14ac:dyDescent="0.25">
      <c r="A17" s="28"/>
      <c r="B17" s="248"/>
      <c r="C17" s="28"/>
      <c r="D17" s="28"/>
      <c r="E17" s="249"/>
      <c r="F17" s="250"/>
      <c r="G17" s="28"/>
      <c r="H17" s="28"/>
      <c r="I17" s="28"/>
      <c r="J17" s="28"/>
      <c r="K17" s="28"/>
      <c r="L17" s="97"/>
      <c r="M17" s="98"/>
      <c r="N17" s="97"/>
      <c r="O17" s="98"/>
      <c r="P17" s="98"/>
      <c r="Q17" s="97"/>
      <c r="R17" s="189"/>
      <c r="S17" s="189"/>
      <c r="T17" s="190"/>
      <c r="U17" s="28"/>
      <c r="V17" s="95"/>
      <c r="W17" s="95"/>
      <c r="X17" s="95"/>
      <c r="Y17" s="95"/>
      <c r="Z17" s="95"/>
      <c r="AA17" s="95"/>
      <c r="AB17" s="95"/>
      <c r="AC17" s="28"/>
      <c r="AD17" s="28"/>
      <c r="AE17" s="28"/>
      <c r="AF17" s="28"/>
      <c r="AG17" s="28"/>
      <c r="AH17" s="28"/>
      <c r="AI17" s="28"/>
    </row>
    <row r="18" spans="1:35" ht="12" customHeight="1" x14ac:dyDescent="0.25">
      <c r="A18" s="28"/>
      <c r="B18" s="28"/>
      <c r="C18" s="28"/>
      <c r="D18" s="28"/>
      <c r="E18" s="28"/>
      <c r="F18" s="250"/>
      <c r="G18" s="28"/>
      <c r="H18" s="28"/>
      <c r="I18" s="28"/>
      <c r="J18" s="28"/>
      <c r="K18" s="28"/>
      <c r="L18" s="97"/>
      <c r="M18" s="98"/>
      <c r="N18" s="97"/>
      <c r="O18" s="98"/>
      <c r="P18" s="98"/>
      <c r="Q18" s="97"/>
      <c r="R18" s="189"/>
      <c r="S18" s="189"/>
      <c r="T18" s="190"/>
      <c r="U18" s="28"/>
      <c r="V18" s="95"/>
      <c r="W18" s="95"/>
      <c r="X18" s="95"/>
      <c r="Y18" s="95"/>
      <c r="Z18" s="95"/>
      <c r="AA18" s="95"/>
      <c r="AB18" s="95"/>
      <c r="AC18" s="28"/>
      <c r="AD18" s="28"/>
      <c r="AE18" s="28"/>
      <c r="AF18" s="28"/>
      <c r="AG18" s="28"/>
      <c r="AH18" s="28"/>
      <c r="AI18" s="28"/>
    </row>
    <row r="19" spans="1:35" ht="12" customHeight="1" x14ac:dyDescent="0.25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97"/>
      <c r="M19" s="98"/>
      <c r="N19" s="97"/>
      <c r="O19" s="98"/>
      <c r="P19" s="98"/>
      <c r="Q19" s="97"/>
      <c r="R19" s="189"/>
      <c r="S19" s="189"/>
      <c r="T19" s="190"/>
      <c r="U19" s="28"/>
      <c r="V19" s="95"/>
      <c r="W19" s="95"/>
      <c r="X19" s="95"/>
      <c r="Y19" s="95"/>
      <c r="Z19" s="95"/>
      <c r="AA19" s="95"/>
      <c r="AB19" s="95"/>
      <c r="AC19" s="28"/>
      <c r="AD19" s="28"/>
      <c r="AE19" s="28"/>
      <c r="AF19" s="28"/>
      <c r="AG19" s="28"/>
      <c r="AH19" s="28"/>
      <c r="AI19" s="28"/>
    </row>
    <row r="20" spans="1:35" ht="12" customHeight="1" x14ac:dyDescent="0.25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97"/>
      <c r="M20" s="98"/>
      <c r="N20" s="97"/>
      <c r="O20" s="98"/>
      <c r="P20" s="98"/>
      <c r="Q20" s="97"/>
      <c r="R20" s="189"/>
      <c r="S20" s="189"/>
      <c r="T20" s="190"/>
      <c r="U20" s="28"/>
      <c r="V20" s="95"/>
      <c r="W20" s="95"/>
      <c r="X20" s="95"/>
      <c r="Y20" s="95"/>
      <c r="Z20" s="95"/>
      <c r="AA20" s="95"/>
      <c r="AB20" s="95"/>
      <c r="AC20" s="28"/>
      <c r="AD20" s="28"/>
      <c r="AE20" s="28"/>
      <c r="AF20" s="28"/>
      <c r="AG20" s="28"/>
      <c r="AH20" s="28"/>
      <c r="AI20" s="28"/>
    </row>
    <row r="21" spans="1:35" ht="12" customHeight="1" x14ac:dyDescent="0.25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97"/>
      <c r="M21" s="98"/>
      <c r="N21" s="97"/>
      <c r="O21" s="98"/>
      <c r="P21" s="98"/>
      <c r="Q21" s="97"/>
      <c r="R21" s="189"/>
      <c r="S21" s="189"/>
      <c r="T21" s="190"/>
      <c r="U21" s="28"/>
      <c r="V21" s="95"/>
      <c r="W21" s="95"/>
      <c r="X21" s="95"/>
      <c r="Y21" s="95"/>
      <c r="Z21" s="95"/>
      <c r="AA21" s="95"/>
      <c r="AB21" s="95"/>
      <c r="AC21" s="28"/>
      <c r="AD21" s="28"/>
      <c r="AE21" s="28"/>
      <c r="AF21" s="28"/>
      <c r="AG21" s="28"/>
      <c r="AH21" s="28"/>
      <c r="AI21" s="28"/>
    </row>
    <row r="22" spans="1:35" ht="12" customHeight="1" x14ac:dyDescent="0.25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97"/>
      <c r="M22" s="98"/>
      <c r="N22" s="97"/>
      <c r="O22" s="98"/>
      <c r="P22" s="98"/>
      <c r="Q22" s="97"/>
      <c r="R22" s="189"/>
      <c r="S22" s="189"/>
      <c r="T22" s="190"/>
      <c r="U22" s="28"/>
      <c r="V22" s="95"/>
      <c r="W22" s="95"/>
      <c r="X22" s="95"/>
      <c r="Y22" s="95"/>
      <c r="Z22" s="95"/>
      <c r="AA22" s="95"/>
      <c r="AB22" s="95"/>
      <c r="AC22" s="28"/>
      <c r="AD22" s="28"/>
      <c r="AE22" s="28"/>
      <c r="AF22" s="28"/>
      <c r="AG22" s="28"/>
      <c r="AH22" s="28"/>
      <c r="AI22" s="28"/>
    </row>
    <row r="23" spans="1:35" ht="12" customHeight="1" x14ac:dyDescent="0.25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97"/>
      <c r="M23" s="98"/>
      <c r="N23" s="97"/>
      <c r="O23" s="98"/>
      <c r="P23" s="98"/>
      <c r="Q23" s="97"/>
      <c r="R23" s="189"/>
      <c r="S23" s="189"/>
      <c r="T23" s="190"/>
      <c r="U23" s="28"/>
      <c r="V23" s="95"/>
      <c r="W23" s="95"/>
      <c r="X23" s="95"/>
      <c r="Y23" s="95"/>
      <c r="Z23" s="95"/>
      <c r="AA23" s="95"/>
      <c r="AB23" s="95"/>
      <c r="AC23" s="28"/>
      <c r="AD23" s="28"/>
      <c r="AE23" s="28"/>
      <c r="AF23" s="28"/>
      <c r="AG23" s="28"/>
      <c r="AH23" s="28"/>
      <c r="AI23" s="28"/>
    </row>
    <row r="24" spans="1:35" ht="12" customHeight="1" x14ac:dyDescent="0.25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97"/>
      <c r="M24" s="98"/>
      <c r="N24" s="97"/>
      <c r="O24" s="98"/>
      <c r="P24" s="98"/>
      <c r="Q24" s="97"/>
      <c r="R24" s="189"/>
      <c r="S24" s="189"/>
      <c r="T24" s="190"/>
      <c r="U24" s="28"/>
      <c r="V24" s="95"/>
      <c r="W24" s="95"/>
      <c r="X24" s="95"/>
      <c r="Y24" s="95"/>
      <c r="Z24" s="95"/>
      <c r="AA24" s="95"/>
      <c r="AB24" s="95"/>
      <c r="AC24" s="28"/>
      <c r="AD24" s="28"/>
      <c r="AE24" s="28"/>
      <c r="AF24" s="28"/>
      <c r="AG24" s="28"/>
      <c r="AH24" s="28"/>
      <c r="AI24" s="28"/>
    </row>
    <row r="25" spans="1:35" ht="12" customHeight="1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97"/>
      <c r="M25" s="98"/>
      <c r="N25" s="97"/>
      <c r="O25" s="98"/>
      <c r="P25" s="98"/>
      <c r="Q25" s="97"/>
      <c r="R25" s="189"/>
      <c r="S25" s="189"/>
      <c r="T25" s="190"/>
      <c r="U25" s="28"/>
      <c r="V25" s="95"/>
      <c r="W25" s="95"/>
      <c r="X25" s="95"/>
      <c r="Y25" s="95"/>
      <c r="Z25" s="95"/>
      <c r="AA25" s="95"/>
      <c r="AB25" s="95"/>
      <c r="AC25" s="28"/>
      <c r="AD25" s="28"/>
      <c r="AE25" s="28"/>
      <c r="AF25" s="28"/>
      <c r="AG25" s="28"/>
      <c r="AH25" s="28"/>
      <c r="AI25" s="28"/>
    </row>
    <row r="26" spans="1:35" ht="12" customHeight="1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97"/>
      <c r="M26" s="98"/>
      <c r="N26" s="97"/>
      <c r="O26" s="98"/>
      <c r="P26" s="98"/>
      <c r="Q26" s="97"/>
      <c r="R26" s="189"/>
      <c r="S26" s="189"/>
      <c r="T26" s="190"/>
      <c r="U26" s="28"/>
      <c r="V26" s="95"/>
      <c r="W26" s="95"/>
      <c r="X26" s="95"/>
      <c r="Y26" s="95"/>
      <c r="Z26" s="95"/>
      <c r="AA26" s="95"/>
      <c r="AB26" s="95"/>
      <c r="AC26" s="28"/>
      <c r="AD26" s="28"/>
      <c r="AE26" s="28"/>
      <c r="AF26" s="28"/>
      <c r="AG26" s="28"/>
      <c r="AH26" s="28"/>
      <c r="AI26" s="28"/>
    </row>
    <row r="27" spans="1:35" ht="12" customHeight="1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97"/>
      <c r="M27" s="98"/>
      <c r="N27" s="97"/>
      <c r="O27" s="98"/>
      <c r="P27" s="98"/>
      <c r="Q27" s="97"/>
      <c r="R27" s="189"/>
      <c r="S27" s="189"/>
      <c r="T27" s="190"/>
      <c r="U27" s="28"/>
      <c r="V27" s="95"/>
      <c r="W27" s="95"/>
      <c r="X27" s="95"/>
      <c r="Y27" s="95"/>
      <c r="Z27" s="95"/>
      <c r="AA27" s="95"/>
      <c r="AB27" s="95"/>
      <c r="AC27" s="28"/>
      <c r="AD27" s="28"/>
      <c r="AE27" s="28"/>
      <c r="AF27" s="28"/>
      <c r="AG27" s="28"/>
      <c r="AH27" s="28"/>
      <c r="AI27" s="28"/>
    </row>
    <row r="28" spans="1:35" ht="12" customHeight="1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97"/>
      <c r="M28" s="98"/>
      <c r="N28" s="97"/>
      <c r="O28" s="98"/>
      <c r="P28" s="98"/>
      <c r="Q28" s="97"/>
      <c r="R28" s="189"/>
      <c r="S28" s="189"/>
      <c r="T28" s="190"/>
      <c r="U28" s="28"/>
      <c r="V28" s="95"/>
      <c r="W28" s="95"/>
      <c r="X28" s="95"/>
      <c r="Y28" s="95"/>
      <c r="Z28" s="95"/>
      <c r="AA28" s="95"/>
      <c r="AB28" s="95"/>
      <c r="AC28" s="28"/>
      <c r="AD28" s="28"/>
      <c r="AE28" s="28"/>
      <c r="AF28" s="28"/>
      <c r="AG28" s="28"/>
      <c r="AH28" s="28"/>
      <c r="AI28" s="28"/>
    </row>
    <row r="29" spans="1:35" ht="12" customHeight="1" x14ac:dyDescent="0.25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97"/>
      <c r="M29" s="98"/>
      <c r="N29" s="97"/>
      <c r="O29" s="98"/>
      <c r="P29" s="98"/>
      <c r="Q29" s="97"/>
      <c r="R29" s="189"/>
      <c r="S29" s="189"/>
      <c r="T29" s="190"/>
      <c r="U29" s="28"/>
      <c r="V29" s="95"/>
      <c r="W29" s="95"/>
      <c r="X29" s="95"/>
      <c r="Y29" s="95"/>
      <c r="Z29" s="95"/>
      <c r="AA29" s="95"/>
      <c r="AB29" s="95"/>
      <c r="AC29" s="28"/>
      <c r="AD29" s="28"/>
      <c r="AE29" s="28"/>
      <c r="AF29" s="28"/>
      <c r="AG29" s="28"/>
      <c r="AH29" s="28"/>
      <c r="AI29" s="28"/>
    </row>
    <row r="30" spans="1:35" ht="12" customHeight="1" x14ac:dyDescent="0.25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97"/>
      <c r="M30" s="98"/>
      <c r="N30" s="97"/>
      <c r="O30" s="98"/>
      <c r="P30" s="98"/>
      <c r="Q30" s="97"/>
      <c r="R30" s="189"/>
      <c r="S30" s="189"/>
      <c r="T30" s="190"/>
      <c r="U30" s="28"/>
      <c r="V30" s="95"/>
      <c r="W30" s="95"/>
      <c r="X30" s="95"/>
      <c r="Y30" s="95"/>
      <c r="Z30" s="95"/>
      <c r="AA30" s="95"/>
      <c r="AB30" s="95"/>
      <c r="AC30" s="28"/>
      <c r="AD30" s="28"/>
      <c r="AE30" s="28"/>
      <c r="AF30" s="28"/>
      <c r="AG30" s="28"/>
      <c r="AH30" s="28"/>
      <c r="AI30" s="28"/>
    </row>
    <row r="31" spans="1:35" ht="12" customHeight="1" x14ac:dyDescent="0.25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97"/>
      <c r="M31" s="98"/>
      <c r="N31" s="97"/>
      <c r="O31" s="98"/>
      <c r="P31" s="98"/>
      <c r="Q31" s="97"/>
      <c r="R31" s="189"/>
      <c r="S31" s="189"/>
      <c r="T31" s="190"/>
      <c r="U31" s="28"/>
      <c r="V31" s="95"/>
      <c r="W31" s="95"/>
      <c r="X31" s="95"/>
      <c r="Y31" s="95"/>
      <c r="Z31" s="95"/>
      <c r="AA31" s="95"/>
      <c r="AB31" s="95"/>
      <c r="AC31" s="28"/>
      <c r="AD31" s="28"/>
      <c r="AE31" s="28"/>
      <c r="AF31" s="28"/>
      <c r="AG31" s="28"/>
      <c r="AH31" s="28"/>
      <c r="AI31" s="28"/>
    </row>
    <row r="32" spans="1:35" ht="12" customHeight="1" x14ac:dyDescent="0.25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97"/>
      <c r="M32" s="98"/>
      <c r="N32" s="97"/>
      <c r="O32" s="98"/>
      <c r="P32" s="98"/>
      <c r="Q32" s="97"/>
      <c r="R32" s="189"/>
      <c r="S32" s="189"/>
      <c r="T32" s="190"/>
      <c r="U32" s="28"/>
      <c r="V32" s="95"/>
      <c r="W32" s="95"/>
      <c r="X32" s="95"/>
      <c r="Y32" s="95"/>
      <c r="Z32" s="95"/>
      <c r="AA32" s="95"/>
      <c r="AB32" s="95"/>
      <c r="AC32" s="28"/>
      <c r="AD32" s="28"/>
      <c r="AE32" s="28"/>
      <c r="AF32" s="28"/>
      <c r="AG32" s="28"/>
      <c r="AH32" s="28"/>
      <c r="AI32" s="28"/>
    </row>
    <row r="33" spans="1:35" ht="12" customHeight="1" x14ac:dyDescent="0.25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97"/>
      <c r="M33" s="98"/>
      <c r="N33" s="97"/>
      <c r="O33" s="98"/>
      <c r="P33" s="98"/>
      <c r="Q33" s="97"/>
      <c r="R33" s="189"/>
      <c r="S33" s="189"/>
      <c r="T33" s="190"/>
      <c r="U33" s="28"/>
      <c r="V33" s="95"/>
      <c r="W33" s="95"/>
      <c r="X33" s="95"/>
      <c r="Y33" s="95"/>
      <c r="Z33" s="95"/>
      <c r="AA33" s="95"/>
      <c r="AB33" s="95"/>
      <c r="AC33" s="28"/>
      <c r="AD33" s="28"/>
      <c r="AE33" s="28"/>
      <c r="AF33" s="28"/>
      <c r="AG33" s="28"/>
      <c r="AH33" s="28"/>
      <c r="AI33" s="28"/>
    </row>
    <row r="34" spans="1:35" ht="12" customHeight="1" x14ac:dyDescent="0.25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97"/>
      <c r="M34" s="98"/>
      <c r="N34" s="97"/>
      <c r="O34" s="98"/>
      <c r="P34" s="98"/>
      <c r="Q34" s="97"/>
      <c r="R34" s="189"/>
      <c r="S34" s="189"/>
      <c r="T34" s="190"/>
      <c r="U34" s="28"/>
      <c r="V34" s="95"/>
      <c r="W34" s="95"/>
      <c r="X34" s="95"/>
      <c r="Y34" s="95"/>
      <c r="Z34" s="95"/>
      <c r="AA34" s="95"/>
      <c r="AB34" s="95"/>
      <c r="AC34" s="28"/>
      <c r="AD34" s="28"/>
      <c r="AE34" s="28"/>
      <c r="AF34" s="28"/>
      <c r="AG34" s="28"/>
      <c r="AH34" s="28"/>
      <c r="AI34" s="28"/>
    </row>
    <row r="35" spans="1:35" ht="12" customHeight="1" x14ac:dyDescent="0.25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97"/>
      <c r="M35" s="98"/>
      <c r="N35" s="97"/>
      <c r="O35" s="98"/>
      <c r="P35" s="98"/>
      <c r="Q35" s="97"/>
      <c r="R35" s="189"/>
      <c r="S35" s="189"/>
      <c r="T35" s="190"/>
      <c r="U35" s="28"/>
      <c r="V35" s="95"/>
      <c r="W35" s="95"/>
      <c r="X35" s="95"/>
      <c r="Y35" s="95"/>
      <c r="Z35" s="95"/>
      <c r="AA35" s="95"/>
      <c r="AB35" s="95"/>
      <c r="AC35" s="28"/>
      <c r="AD35" s="28"/>
      <c r="AE35" s="28"/>
      <c r="AF35" s="28"/>
      <c r="AG35" s="28"/>
      <c r="AH35" s="28"/>
      <c r="AI35" s="28"/>
    </row>
    <row r="36" spans="1:35" ht="12" customHeight="1" x14ac:dyDescent="0.25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97"/>
      <c r="M36" s="98"/>
      <c r="N36" s="97"/>
      <c r="O36" s="98"/>
      <c r="P36" s="98"/>
      <c r="Q36" s="97"/>
      <c r="R36" s="189"/>
      <c r="S36" s="189"/>
      <c r="T36" s="190"/>
      <c r="U36" s="28"/>
      <c r="V36" s="95"/>
      <c r="W36" s="95"/>
      <c r="X36" s="95"/>
      <c r="Y36" s="95"/>
      <c r="Z36" s="95"/>
      <c r="AA36" s="95"/>
      <c r="AB36" s="95"/>
      <c r="AC36" s="28"/>
      <c r="AD36" s="28"/>
      <c r="AE36" s="28"/>
      <c r="AF36" s="28"/>
      <c r="AG36" s="28"/>
      <c r="AH36" s="28"/>
      <c r="AI36" s="28"/>
    </row>
    <row r="37" spans="1:35" ht="12" customHeight="1" x14ac:dyDescent="0.25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97"/>
      <c r="M37" s="98"/>
      <c r="N37" s="97"/>
      <c r="O37" s="98"/>
      <c r="P37" s="98"/>
      <c r="Q37" s="97"/>
      <c r="R37" s="189"/>
      <c r="S37" s="189"/>
      <c r="T37" s="190"/>
      <c r="U37" s="28"/>
      <c r="V37" s="95"/>
      <c r="W37" s="95"/>
      <c r="X37" s="95"/>
      <c r="Y37" s="95"/>
      <c r="Z37" s="95"/>
      <c r="AA37" s="95"/>
      <c r="AB37" s="95"/>
      <c r="AC37" s="28"/>
      <c r="AD37" s="28"/>
      <c r="AE37" s="28"/>
      <c r="AF37" s="28"/>
      <c r="AG37" s="28"/>
      <c r="AH37" s="28"/>
      <c r="AI37" s="28"/>
    </row>
    <row r="38" spans="1:35" ht="12" customHeight="1" x14ac:dyDescent="0.25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97"/>
      <c r="M38" s="98"/>
      <c r="N38" s="97"/>
      <c r="O38" s="98"/>
      <c r="P38" s="98"/>
      <c r="Q38" s="97"/>
      <c r="R38" s="189"/>
      <c r="S38" s="189"/>
      <c r="T38" s="190"/>
      <c r="U38" s="28"/>
      <c r="V38" s="95"/>
      <c r="W38" s="95"/>
      <c r="X38" s="95"/>
      <c r="Y38" s="95"/>
      <c r="Z38" s="95"/>
      <c r="AA38" s="95"/>
      <c r="AB38" s="95"/>
      <c r="AC38" s="28"/>
      <c r="AD38" s="28"/>
      <c r="AE38" s="28"/>
      <c r="AF38" s="28"/>
      <c r="AG38" s="28"/>
      <c r="AH38" s="28"/>
      <c r="AI38" s="28"/>
    </row>
    <row r="39" spans="1:35" ht="12" customHeight="1" x14ac:dyDescent="0.25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97"/>
      <c r="M39" s="98"/>
      <c r="N39" s="97"/>
      <c r="O39" s="98"/>
      <c r="P39" s="98"/>
      <c r="Q39" s="97"/>
      <c r="R39" s="189"/>
      <c r="S39" s="189"/>
      <c r="T39" s="190"/>
      <c r="U39" s="28"/>
      <c r="V39" s="95"/>
      <c r="W39" s="95"/>
      <c r="X39" s="95"/>
      <c r="Y39" s="95"/>
      <c r="Z39" s="95"/>
      <c r="AA39" s="95"/>
      <c r="AB39" s="95"/>
      <c r="AC39" s="28"/>
      <c r="AD39" s="28"/>
      <c r="AE39" s="28"/>
      <c r="AF39" s="28"/>
      <c r="AG39" s="28"/>
      <c r="AH39" s="28"/>
      <c r="AI39" s="28"/>
    </row>
    <row r="40" spans="1:35" ht="12" customHeight="1" x14ac:dyDescent="0.25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97"/>
      <c r="M40" s="98"/>
      <c r="N40" s="97"/>
      <c r="O40" s="98"/>
      <c r="P40" s="98"/>
      <c r="Q40" s="97"/>
      <c r="R40" s="189"/>
      <c r="S40" s="189"/>
      <c r="T40" s="190"/>
      <c r="U40" s="28"/>
      <c r="V40" s="95"/>
      <c r="W40" s="95"/>
      <c r="X40" s="95"/>
      <c r="Y40" s="95"/>
      <c r="Z40" s="95"/>
      <c r="AA40" s="95"/>
      <c r="AB40" s="95"/>
      <c r="AC40" s="28"/>
      <c r="AD40" s="28"/>
      <c r="AE40" s="28"/>
      <c r="AF40" s="28"/>
      <c r="AG40" s="28"/>
      <c r="AH40" s="28"/>
      <c r="AI40" s="28"/>
    </row>
    <row r="41" spans="1:35" ht="12" customHeight="1" x14ac:dyDescent="0.25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97"/>
      <c r="M41" s="98"/>
      <c r="N41" s="97"/>
      <c r="O41" s="98"/>
      <c r="P41" s="98"/>
      <c r="Q41" s="97"/>
      <c r="R41" s="189"/>
      <c r="S41" s="189"/>
      <c r="T41" s="190"/>
      <c r="U41" s="28"/>
      <c r="V41" s="95"/>
      <c r="W41" s="95"/>
      <c r="X41" s="95"/>
      <c r="Y41" s="95"/>
      <c r="Z41" s="95"/>
      <c r="AA41" s="95"/>
      <c r="AB41" s="95"/>
      <c r="AC41" s="28"/>
      <c r="AD41" s="28"/>
      <c r="AE41" s="28"/>
      <c r="AF41" s="28"/>
      <c r="AG41" s="28"/>
      <c r="AH41" s="28"/>
      <c r="AI41" s="28"/>
    </row>
    <row r="42" spans="1:35" ht="12" customHeight="1" x14ac:dyDescent="0.25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97"/>
      <c r="M42" s="98"/>
      <c r="N42" s="97"/>
      <c r="O42" s="98"/>
      <c r="P42" s="98"/>
      <c r="Q42" s="97"/>
      <c r="R42" s="189"/>
      <c r="S42" s="189"/>
      <c r="T42" s="190"/>
      <c r="U42" s="28"/>
      <c r="V42" s="95"/>
      <c r="W42" s="95"/>
      <c r="X42" s="95"/>
      <c r="Y42" s="95"/>
      <c r="Z42" s="95"/>
      <c r="AA42" s="95"/>
      <c r="AB42" s="95"/>
      <c r="AC42" s="28"/>
      <c r="AD42" s="28"/>
      <c r="AE42" s="28"/>
      <c r="AF42" s="28"/>
      <c r="AG42" s="28"/>
      <c r="AH42" s="28"/>
      <c r="AI42" s="28"/>
    </row>
    <row r="43" spans="1:35" ht="12" customHeight="1" x14ac:dyDescent="0.25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97"/>
      <c r="M43" s="98"/>
      <c r="N43" s="97"/>
      <c r="O43" s="98"/>
      <c r="P43" s="98"/>
      <c r="Q43" s="97"/>
      <c r="R43" s="189"/>
      <c r="S43" s="189"/>
      <c r="T43" s="190"/>
      <c r="U43" s="28"/>
      <c r="V43" s="95"/>
      <c r="W43" s="95"/>
      <c r="X43" s="95"/>
      <c r="Y43" s="95"/>
      <c r="Z43" s="95"/>
      <c r="AA43" s="95"/>
      <c r="AB43" s="95"/>
      <c r="AC43" s="28"/>
      <c r="AD43" s="28"/>
      <c r="AE43" s="28"/>
      <c r="AF43" s="28"/>
      <c r="AG43" s="28"/>
      <c r="AH43" s="28"/>
      <c r="AI43" s="28"/>
    </row>
    <row r="44" spans="1:35" ht="12" customHeight="1" x14ac:dyDescent="0.25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97"/>
      <c r="M44" s="98"/>
      <c r="N44" s="97"/>
      <c r="O44" s="98"/>
      <c r="P44" s="98"/>
      <c r="Q44" s="97"/>
      <c r="R44" s="189"/>
      <c r="S44" s="189"/>
      <c r="T44" s="190"/>
      <c r="U44" s="28"/>
      <c r="V44" s="95"/>
      <c r="W44" s="95"/>
      <c r="X44" s="95"/>
      <c r="Y44" s="95"/>
      <c r="Z44" s="95"/>
      <c r="AA44" s="95"/>
      <c r="AB44" s="95"/>
      <c r="AC44" s="28"/>
      <c r="AD44" s="28"/>
      <c r="AE44" s="28"/>
      <c r="AF44" s="28"/>
      <c r="AG44" s="28"/>
      <c r="AH44" s="28"/>
      <c r="AI44" s="28"/>
    </row>
    <row r="45" spans="1:35" ht="12" customHeight="1" x14ac:dyDescent="0.25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97"/>
      <c r="M45" s="98"/>
      <c r="N45" s="97"/>
      <c r="O45" s="98"/>
      <c r="P45" s="98"/>
      <c r="Q45" s="97"/>
      <c r="R45" s="189"/>
      <c r="S45" s="189"/>
      <c r="T45" s="190"/>
      <c r="U45" s="28"/>
      <c r="V45" s="95"/>
      <c r="W45" s="95"/>
      <c r="X45" s="95"/>
      <c r="Y45" s="95"/>
      <c r="Z45" s="95"/>
      <c r="AA45" s="95"/>
      <c r="AB45" s="95"/>
      <c r="AC45" s="28"/>
      <c r="AD45" s="28"/>
      <c r="AE45" s="28"/>
      <c r="AF45" s="28"/>
      <c r="AG45" s="28"/>
      <c r="AH45" s="28"/>
      <c r="AI45" s="28"/>
    </row>
    <row r="46" spans="1:35" ht="12" customHeight="1" x14ac:dyDescent="0.25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97"/>
      <c r="M46" s="98"/>
      <c r="N46" s="97"/>
      <c r="O46" s="98"/>
      <c r="P46" s="98"/>
      <c r="Q46" s="97"/>
      <c r="R46" s="189"/>
      <c r="S46" s="189"/>
      <c r="T46" s="190"/>
      <c r="U46" s="28"/>
      <c r="V46" s="95"/>
      <c r="W46" s="95"/>
      <c r="X46" s="95"/>
      <c r="Y46" s="95"/>
      <c r="Z46" s="95"/>
      <c r="AA46" s="95"/>
      <c r="AB46" s="95"/>
      <c r="AC46" s="28"/>
      <c r="AD46" s="28"/>
      <c r="AE46" s="28"/>
      <c r="AF46" s="28"/>
      <c r="AG46" s="28"/>
      <c r="AH46" s="28"/>
      <c r="AI46" s="28"/>
    </row>
    <row r="47" spans="1:35" ht="12" customHeight="1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97"/>
      <c r="M47" s="98"/>
      <c r="N47" s="97"/>
      <c r="O47" s="98"/>
      <c r="P47" s="98"/>
      <c r="Q47" s="97"/>
      <c r="R47" s="189"/>
      <c r="S47" s="189"/>
      <c r="T47" s="190"/>
      <c r="U47" s="28"/>
      <c r="V47" s="95"/>
      <c r="W47" s="95"/>
      <c r="X47" s="95"/>
      <c r="Y47" s="95"/>
      <c r="Z47" s="95"/>
      <c r="AA47" s="95"/>
      <c r="AB47" s="95"/>
      <c r="AC47" s="28"/>
      <c r="AD47" s="28"/>
      <c r="AE47" s="28"/>
      <c r="AF47" s="28"/>
      <c r="AG47" s="28"/>
      <c r="AH47" s="28"/>
      <c r="AI47" s="28"/>
    </row>
    <row r="48" spans="1:35" ht="12" customHeight="1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97"/>
      <c r="M48" s="98"/>
      <c r="N48" s="97"/>
      <c r="O48" s="98"/>
      <c r="P48" s="98"/>
      <c r="Q48" s="97"/>
      <c r="R48" s="189"/>
      <c r="S48" s="189"/>
      <c r="T48" s="190"/>
      <c r="U48" s="28"/>
      <c r="V48" s="95"/>
      <c r="W48" s="95"/>
      <c r="X48" s="95"/>
      <c r="Y48" s="95"/>
      <c r="Z48" s="95"/>
      <c r="AA48" s="95"/>
      <c r="AB48" s="95"/>
      <c r="AC48" s="28"/>
      <c r="AD48" s="28"/>
      <c r="AE48" s="28"/>
      <c r="AF48" s="28"/>
      <c r="AG48" s="28"/>
      <c r="AH48" s="28"/>
      <c r="AI48" s="28"/>
    </row>
    <row r="49" spans="1:35" ht="12" customHeight="1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97"/>
      <c r="M49" s="98"/>
      <c r="N49" s="97"/>
      <c r="O49" s="98"/>
      <c r="P49" s="98"/>
      <c r="Q49" s="97"/>
      <c r="R49" s="189"/>
      <c r="S49" s="189"/>
      <c r="T49" s="190"/>
      <c r="U49" s="28"/>
      <c r="V49" s="95"/>
      <c r="W49" s="95"/>
      <c r="X49" s="95"/>
      <c r="Y49" s="95"/>
      <c r="Z49" s="95"/>
      <c r="AA49" s="95"/>
      <c r="AB49" s="95"/>
      <c r="AC49" s="28"/>
      <c r="AD49" s="28"/>
      <c r="AE49" s="28"/>
      <c r="AF49" s="28"/>
      <c r="AG49" s="28"/>
      <c r="AH49" s="28"/>
      <c r="AI49" s="28"/>
    </row>
    <row r="50" spans="1:35" ht="12" customHeight="1" x14ac:dyDescent="0.25">
      <c r="A50" s="28"/>
      <c r="B50" s="28"/>
      <c r="C50" s="28"/>
      <c r="D50" s="28"/>
      <c r="E50" s="28"/>
      <c r="F50" s="28"/>
      <c r="G50" s="28"/>
      <c r="H50" s="28"/>
      <c r="I50" s="28"/>
      <c r="J50" s="28"/>
      <c r="K50" s="28"/>
      <c r="L50" s="97"/>
      <c r="M50" s="98"/>
      <c r="N50" s="97"/>
      <c r="O50" s="98"/>
      <c r="P50" s="98"/>
      <c r="Q50" s="97"/>
      <c r="R50" s="189"/>
      <c r="S50" s="189"/>
      <c r="T50" s="190"/>
      <c r="U50" s="28"/>
      <c r="V50" s="95"/>
      <c r="W50" s="95"/>
      <c r="X50" s="95"/>
      <c r="Y50" s="95"/>
      <c r="Z50" s="95"/>
      <c r="AA50" s="95"/>
      <c r="AB50" s="95"/>
      <c r="AC50" s="28"/>
      <c r="AD50" s="28"/>
      <c r="AE50" s="28"/>
      <c r="AF50" s="28"/>
      <c r="AG50" s="28"/>
      <c r="AH50" s="28"/>
      <c r="AI50" s="28"/>
    </row>
    <row r="51" spans="1:35" ht="12" customHeight="1" x14ac:dyDescent="0.25">
      <c r="A51" s="28"/>
      <c r="B51" s="28"/>
      <c r="C51" s="28"/>
      <c r="D51" s="28"/>
      <c r="E51" s="28"/>
      <c r="F51" s="28"/>
      <c r="G51" s="28"/>
      <c r="H51" s="28"/>
      <c r="I51" s="28"/>
      <c r="J51" s="28"/>
      <c r="K51" s="28"/>
      <c r="L51" s="97"/>
      <c r="M51" s="98"/>
      <c r="N51" s="97"/>
      <c r="O51" s="98"/>
      <c r="P51" s="98"/>
      <c r="Q51" s="97"/>
      <c r="R51" s="189"/>
      <c r="S51" s="189"/>
      <c r="T51" s="190"/>
      <c r="U51" s="28"/>
      <c r="V51" s="95"/>
      <c r="W51" s="95"/>
      <c r="X51" s="95"/>
      <c r="Y51" s="95"/>
      <c r="Z51" s="95"/>
      <c r="AA51" s="95"/>
      <c r="AB51" s="95"/>
      <c r="AC51" s="28"/>
      <c r="AD51" s="28"/>
      <c r="AE51" s="28"/>
      <c r="AF51" s="28"/>
      <c r="AG51" s="28"/>
      <c r="AH51" s="28"/>
      <c r="AI51" s="28"/>
    </row>
    <row r="52" spans="1:35" ht="12" customHeight="1" x14ac:dyDescent="0.25">
      <c r="A52" s="28"/>
      <c r="B52" s="28"/>
      <c r="C52" s="28"/>
      <c r="D52" s="28"/>
      <c r="E52" s="28"/>
      <c r="F52" s="28"/>
      <c r="G52" s="28"/>
      <c r="H52" s="28"/>
      <c r="I52" s="28"/>
      <c r="J52" s="28"/>
      <c r="K52" s="28"/>
      <c r="L52" s="97"/>
      <c r="M52" s="98"/>
      <c r="N52" s="97"/>
      <c r="O52" s="98"/>
      <c r="P52" s="98"/>
      <c r="Q52" s="97"/>
      <c r="R52" s="189"/>
      <c r="S52" s="189"/>
      <c r="T52" s="190"/>
      <c r="U52" s="28"/>
      <c r="V52" s="95"/>
      <c r="W52" s="95"/>
      <c r="X52" s="95"/>
      <c r="Y52" s="95"/>
      <c r="Z52" s="95"/>
      <c r="AA52" s="95"/>
      <c r="AB52" s="95"/>
      <c r="AC52" s="28"/>
      <c r="AD52" s="28"/>
      <c r="AE52" s="28"/>
      <c r="AF52" s="28"/>
      <c r="AG52" s="28"/>
      <c r="AH52" s="28"/>
      <c r="AI52" s="28"/>
    </row>
    <row r="53" spans="1:35" ht="12" customHeight="1" x14ac:dyDescent="0.25">
      <c r="A53" s="28"/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97"/>
      <c r="M53" s="98"/>
      <c r="N53" s="97"/>
      <c r="O53" s="98"/>
      <c r="P53" s="98"/>
      <c r="Q53" s="97"/>
      <c r="R53" s="189"/>
      <c r="S53" s="189"/>
      <c r="T53" s="190"/>
      <c r="U53" s="28"/>
      <c r="V53" s="95"/>
      <c r="W53" s="95"/>
      <c r="X53" s="95"/>
      <c r="Y53" s="95"/>
      <c r="Z53" s="95"/>
      <c r="AA53" s="95"/>
      <c r="AB53" s="95"/>
      <c r="AC53" s="28"/>
      <c r="AD53" s="28"/>
      <c r="AE53" s="28"/>
      <c r="AF53" s="28"/>
      <c r="AG53" s="28"/>
      <c r="AH53" s="28"/>
      <c r="AI53" s="28"/>
    </row>
    <row r="54" spans="1:35" ht="12" customHeight="1" x14ac:dyDescent="0.25">
      <c r="A54" s="28"/>
      <c r="B54" s="28"/>
      <c r="C54" s="28"/>
      <c r="D54" s="28"/>
      <c r="E54" s="28"/>
      <c r="F54" s="28"/>
      <c r="G54" s="28"/>
      <c r="H54" s="28"/>
      <c r="I54" s="28"/>
      <c r="J54" s="28"/>
      <c r="K54" s="28"/>
      <c r="L54" s="97"/>
      <c r="M54" s="98"/>
      <c r="N54" s="97"/>
      <c r="O54" s="98"/>
      <c r="P54" s="98"/>
      <c r="Q54" s="97"/>
      <c r="R54" s="189"/>
      <c r="S54" s="189"/>
      <c r="T54" s="190"/>
      <c r="U54" s="28"/>
      <c r="V54" s="95"/>
      <c r="W54" s="95"/>
      <c r="X54" s="95"/>
      <c r="Y54" s="95"/>
      <c r="Z54" s="95"/>
      <c r="AA54" s="95"/>
      <c r="AB54" s="95"/>
      <c r="AC54" s="28"/>
      <c r="AD54" s="28"/>
      <c r="AE54" s="28"/>
      <c r="AF54" s="28"/>
      <c r="AG54" s="28"/>
      <c r="AH54" s="28"/>
      <c r="AI54" s="28"/>
    </row>
    <row r="55" spans="1:35" ht="12" customHeight="1" x14ac:dyDescent="0.25">
      <c r="A55" s="28"/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97"/>
      <c r="M55" s="98"/>
      <c r="N55" s="97"/>
      <c r="O55" s="98"/>
      <c r="P55" s="98"/>
      <c r="Q55" s="97"/>
      <c r="R55" s="189"/>
      <c r="S55" s="189"/>
      <c r="T55" s="190"/>
      <c r="U55" s="28"/>
      <c r="V55" s="95"/>
      <c r="W55" s="95"/>
      <c r="X55" s="95"/>
      <c r="Y55" s="95"/>
      <c r="Z55" s="95"/>
      <c r="AA55" s="95"/>
      <c r="AB55" s="95"/>
      <c r="AC55" s="28"/>
      <c r="AD55" s="28"/>
      <c r="AE55" s="28"/>
      <c r="AF55" s="28"/>
      <c r="AG55" s="28"/>
      <c r="AH55" s="28"/>
      <c r="AI55" s="28"/>
    </row>
    <row r="56" spans="1:35" ht="12" customHeight="1" x14ac:dyDescent="0.25">
      <c r="A56" s="28"/>
      <c r="B56" s="28"/>
      <c r="C56" s="28"/>
      <c r="D56" s="28"/>
      <c r="E56" s="28"/>
      <c r="F56" s="28"/>
      <c r="G56" s="28"/>
      <c r="H56" s="28"/>
      <c r="I56" s="28"/>
      <c r="J56" s="28"/>
      <c r="K56" s="28"/>
      <c r="L56" s="97"/>
      <c r="M56" s="98"/>
      <c r="N56" s="97"/>
      <c r="O56" s="98"/>
      <c r="P56" s="98"/>
      <c r="Q56" s="97"/>
      <c r="R56" s="189"/>
      <c r="S56" s="189"/>
      <c r="T56" s="190"/>
      <c r="U56" s="28"/>
      <c r="V56" s="95"/>
      <c r="W56" s="95"/>
      <c r="X56" s="95"/>
      <c r="Y56" s="95"/>
      <c r="Z56" s="95"/>
      <c r="AA56" s="95"/>
      <c r="AB56" s="95"/>
      <c r="AC56" s="28"/>
      <c r="AD56" s="28"/>
      <c r="AE56" s="28"/>
      <c r="AF56" s="28"/>
      <c r="AG56" s="28"/>
      <c r="AH56" s="28"/>
      <c r="AI56" s="28"/>
    </row>
    <row r="57" spans="1:35" ht="12" customHeight="1" x14ac:dyDescent="0.25">
      <c r="A57" s="28"/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97"/>
      <c r="M57" s="98"/>
      <c r="N57" s="97"/>
      <c r="O57" s="98"/>
      <c r="P57" s="98"/>
      <c r="Q57" s="97"/>
      <c r="R57" s="189"/>
      <c r="S57" s="189"/>
      <c r="T57" s="190"/>
      <c r="U57" s="28"/>
      <c r="V57" s="95"/>
      <c r="W57" s="95"/>
      <c r="X57" s="95"/>
      <c r="Y57" s="95"/>
      <c r="Z57" s="95"/>
      <c r="AA57" s="95"/>
      <c r="AB57" s="95"/>
      <c r="AC57" s="28"/>
      <c r="AD57" s="28"/>
      <c r="AE57" s="28"/>
      <c r="AF57" s="28"/>
      <c r="AG57" s="28"/>
      <c r="AH57" s="28"/>
      <c r="AI57" s="28"/>
    </row>
    <row r="58" spans="1:35" ht="12" customHeight="1" x14ac:dyDescent="0.25">
      <c r="A58" s="28"/>
      <c r="B58" s="28"/>
      <c r="C58" s="28"/>
      <c r="D58" s="28"/>
      <c r="E58" s="28"/>
      <c r="F58" s="28"/>
      <c r="G58" s="28"/>
      <c r="H58" s="28"/>
      <c r="I58" s="28"/>
      <c r="J58" s="28"/>
      <c r="K58" s="28"/>
      <c r="L58" s="97"/>
      <c r="M58" s="98"/>
      <c r="N58" s="97"/>
      <c r="O58" s="98"/>
      <c r="P58" s="98"/>
      <c r="Q58" s="97"/>
      <c r="R58" s="189"/>
      <c r="S58" s="189"/>
      <c r="T58" s="190"/>
      <c r="U58" s="28"/>
      <c r="V58" s="95"/>
      <c r="W58" s="95"/>
      <c r="X58" s="95"/>
      <c r="Y58" s="95"/>
      <c r="Z58" s="95"/>
      <c r="AA58" s="95"/>
      <c r="AB58" s="95"/>
      <c r="AC58" s="28"/>
      <c r="AD58" s="28"/>
      <c r="AE58" s="28"/>
      <c r="AF58" s="28"/>
      <c r="AG58" s="28"/>
      <c r="AH58" s="28"/>
      <c r="AI58" s="28"/>
    </row>
    <row r="59" spans="1:35" ht="12" customHeight="1" x14ac:dyDescent="0.25">
      <c r="A59" s="28"/>
      <c r="B59" s="28"/>
      <c r="C59" s="28"/>
      <c r="D59" s="28"/>
      <c r="E59" s="28"/>
      <c r="F59" s="28"/>
      <c r="G59" s="28"/>
      <c r="H59" s="28"/>
      <c r="I59" s="28"/>
      <c r="J59" s="28"/>
      <c r="K59" s="28"/>
      <c r="L59" s="97"/>
      <c r="M59" s="98"/>
      <c r="N59" s="97"/>
      <c r="O59" s="98"/>
      <c r="P59" s="98"/>
      <c r="Q59" s="97"/>
      <c r="R59" s="189"/>
      <c r="S59" s="189"/>
      <c r="T59" s="190"/>
      <c r="U59" s="28"/>
      <c r="V59" s="95"/>
      <c r="W59" s="95"/>
      <c r="X59" s="95"/>
      <c r="Y59" s="95"/>
      <c r="Z59" s="95"/>
      <c r="AA59" s="95"/>
      <c r="AB59" s="95"/>
      <c r="AC59" s="28"/>
      <c r="AD59" s="28"/>
      <c r="AE59" s="28"/>
      <c r="AF59" s="28"/>
      <c r="AG59" s="28"/>
      <c r="AH59" s="28"/>
      <c r="AI59" s="28"/>
    </row>
    <row r="60" spans="1:35" ht="12" customHeight="1" x14ac:dyDescent="0.25">
      <c r="A60" s="28"/>
      <c r="B60" s="28"/>
      <c r="C60" s="28"/>
      <c r="D60" s="28"/>
      <c r="E60" s="28"/>
      <c r="F60" s="28"/>
      <c r="G60" s="28"/>
      <c r="H60" s="28"/>
      <c r="I60" s="28"/>
      <c r="J60" s="28"/>
      <c r="K60" s="28"/>
      <c r="L60" s="97"/>
      <c r="M60" s="98"/>
      <c r="N60" s="97"/>
      <c r="O60" s="98"/>
      <c r="P60" s="98"/>
      <c r="Q60" s="97"/>
      <c r="R60" s="189"/>
      <c r="S60" s="189"/>
      <c r="T60" s="190"/>
      <c r="U60" s="28"/>
      <c r="V60" s="95"/>
      <c r="W60" s="95"/>
      <c r="X60" s="95"/>
      <c r="Y60" s="95"/>
      <c r="Z60" s="95"/>
      <c r="AA60" s="95"/>
      <c r="AB60" s="95"/>
      <c r="AC60" s="28"/>
      <c r="AD60" s="28"/>
      <c r="AE60" s="28"/>
      <c r="AF60" s="28"/>
      <c r="AG60" s="28"/>
      <c r="AH60" s="28"/>
      <c r="AI60" s="28"/>
    </row>
    <row r="61" spans="1:35" ht="12" customHeight="1" x14ac:dyDescent="0.25">
      <c r="A61" s="28"/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97"/>
      <c r="M61" s="98"/>
      <c r="N61" s="97"/>
      <c r="O61" s="98"/>
      <c r="P61" s="98"/>
      <c r="Q61" s="97"/>
      <c r="R61" s="189"/>
      <c r="S61" s="189"/>
      <c r="T61" s="190"/>
      <c r="U61" s="28"/>
      <c r="V61" s="95"/>
      <c r="W61" s="95"/>
      <c r="X61" s="95"/>
      <c r="Y61" s="95"/>
      <c r="Z61" s="95"/>
      <c r="AA61" s="95"/>
      <c r="AB61" s="95"/>
      <c r="AC61" s="28"/>
      <c r="AD61" s="28"/>
      <c r="AE61" s="28"/>
      <c r="AF61" s="28"/>
      <c r="AG61" s="28"/>
      <c r="AH61" s="28"/>
      <c r="AI61" s="28"/>
    </row>
    <row r="62" spans="1:35" ht="12" customHeight="1" x14ac:dyDescent="0.25">
      <c r="A62" s="28"/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97"/>
      <c r="M62" s="98"/>
      <c r="N62" s="97"/>
      <c r="O62" s="98"/>
      <c r="P62" s="98"/>
      <c r="Q62" s="97"/>
      <c r="R62" s="189"/>
      <c r="S62" s="189"/>
      <c r="T62" s="190"/>
      <c r="U62" s="28"/>
      <c r="V62" s="95"/>
      <c r="W62" s="95"/>
      <c r="X62" s="95"/>
      <c r="Y62" s="95"/>
      <c r="Z62" s="95"/>
      <c r="AA62" s="95"/>
      <c r="AB62" s="95"/>
      <c r="AC62" s="28"/>
      <c r="AD62" s="28"/>
      <c r="AE62" s="28"/>
      <c r="AF62" s="28"/>
      <c r="AG62" s="28"/>
      <c r="AH62" s="28"/>
      <c r="AI62" s="28"/>
    </row>
    <row r="63" spans="1:35" ht="12" customHeight="1" x14ac:dyDescent="0.25">
      <c r="A63" s="28"/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97"/>
      <c r="M63" s="98"/>
      <c r="N63" s="97"/>
      <c r="O63" s="98"/>
      <c r="P63" s="98"/>
      <c r="Q63" s="97"/>
      <c r="R63" s="189"/>
      <c r="S63" s="189"/>
      <c r="T63" s="190"/>
      <c r="U63" s="28"/>
      <c r="V63" s="95"/>
      <c r="W63" s="95"/>
      <c r="X63" s="95"/>
      <c r="Y63" s="95"/>
      <c r="Z63" s="95"/>
      <c r="AA63" s="95"/>
      <c r="AB63" s="95"/>
      <c r="AC63" s="28"/>
      <c r="AD63" s="28"/>
      <c r="AE63" s="28"/>
      <c r="AF63" s="28"/>
      <c r="AG63" s="28"/>
      <c r="AH63" s="28"/>
      <c r="AI63" s="28"/>
    </row>
    <row r="64" spans="1:35" ht="12" customHeight="1" x14ac:dyDescent="0.25">
      <c r="A64" s="28"/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97"/>
      <c r="M64" s="98"/>
      <c r="N64" s="97"/>
      <c r="O64" s="98"/>
      <c r="P64" s="98"/>
      <c r="Q64" s="97"/>
      <c r="R64" s="189"/>
      <c r="S64" s="189"/>
      <c r="T64" s="190"/>
      <c r="U64" s="28"/>
      <c r="V64" s="95"/>
      <c r="W64" s="95"/>
      <c r="X64" s="95"/>
      <c r="Y64" s="95"/>
      <c r="Z64" s="95"/>
      <c r="AA64" s="95"/>
      <c r="AB64" s="95"/>
      <c r="AC64" s="28"/>
      <c r="AD64" s="28"/>
      <c r="AE64" s="28"/>
      <c r="AF64" s="28"/>
      <c r="AG64" s="28"/>
      <c r="AH64" s="28"/>
      <c r="AI64" s="28"/>
    </row>
    <row r="65" spans="1:35" ht="12" customHeight="1" x14ac:dyDescent="0.25">
      <c r="A65" s="28"/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97"/>
      <c r="M65" s="98"/>
      <c r="N65" s="97"/>
      <c r="O65" s="98"/>
      <c r="P65" s="98"/>
      <c r="Q65" s="97"/>
      <c r="R65" s="189"/>
      <c r="S65" s="189"/>
      <c r="T65" s="190"/>
      <c r="U65" s="28"/>
      <c r="V65" s="95"/>
      <c r="W65" s="95"/>
      <c r="X65" s="95"/>
      <c r="Y65" s="95"/>
      <c r="Z65" s="95"/>
      <c r="AA65" s="95"/>
      <c r="AB65" s="95"/>
      <c r="AC65" s="28"/>
      <c r="AD65" s="28"/>
      <c r="AE65" s="28"/>
      <c r="AF65" s="28"/>
      <c r="AG65" s="28"/>
      <c r="AH65" s="28"/>
      <c r="AI65" s="28"/>
    </row>
    <row r="66" spans="1:35" ht="12" customHeight="1" x14ac:dyDescent="0.25">
      <c r="A66" s="28"/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97"/>
      <c r="M66" s="98"/>
      <c r="N66" s="97"/>
      <c r="O66" s="98"/>
      <c r="P66" s="98"/>
      <c r="Q66" s="97"/>
      <c r="R66" s="189"/>
      <c r="S66" s="189"/>
      <c r="T66" s="190"/>
      <c r="U66" s="28"/>
      <c r="V66" s="95"/>
      <c r="W66" s="95"/>
      <c r="X66" s="95"/>
      <c r="Y66" s="95"/>
      <c r="Z66" s="95"/>
      <c r="AA66" s="95"/>
      <c r="AB66" s="95"/>
      <c r="AC66" s="28"/>
      <c r="AD66" s="28"/>
      <c r="AE66" s="28"/>
      <c r="AF66" s="28"/>
      <c r="AG66" s="28"/>
      <c r="AH66" s="28"/>
      <c r="AI66" s="28"/>
    </row>
    <row r="67" spans="1:35" ht="12" customHeight="1" x14ac:dyDescent="0.25">
      <c r="A67" s="28"/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97"/>
      <c r="M67" s="98"/>
      <c r="N67" s="97"/>
      <c r="O67" s="98"/>
      <c r="P67" s="98"/>
      <c r="Q67" s="97"/>
      <c r="R67" s="189"/>
      <c r="S67" s="189"/>
      <c r="T67" s="190"/>
      <c r="U67" s="28"/>
      <c r="V67" s="95"/>
      <c r="W67" s="95"/>
      <c r="X67" s="95"/>
      <c r="Y67" s="95"/>
      <c r="Z67" s="95"/>
      <c r="AA67" s="95"/>
      <c r="AB67" s="95"/>
      <c r="AC67" s="28"/>
      <c r="AD67" s="28"/>
      <c r="AE67" s="28"/>
      <c r="AF67" s="28"/>
      <c r="AG67" s="28"/>
      <c r="AH67" s="28"/>
      <c r="AI67" s="28"/>
    </row>
    <row r="68" spans="1:35" ht="12" customHeight="1" x14ac:dyDescent="0.25">
      <c r="A68" s="28"/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97"/>
      <c r="M68" s="98"/>
      <c r="N68" s="97"/>
      <c r="O68" s="98"/>
      <c r="P68" s="98"/>
      <c r="Q68" s="97"/>
      <c r="R68" s="189"/>
      <c r="S68" s="189"/>
      <c r="T68" s="190"/>
      <c r="U68" s="28"/>
      <c r="V68" s="95"/>
      <c r="W68" s="95"/>
      <c r="X68" s="95"/>
      <c r="Y68" s="95"/>
      <c r="Z68" s="95"/>
      <c r="AA68" s="95"/>
      <c r="AB68" s="95"/>
      <c r="AC68" s="28"/>
      <c r="AD68" s="28"/>
      <c r="AE68" s="28"/>
      <c r="AF68" s="28"/>
      <c r="AG68" s="28"/>
      <c r="AH68" s="28"/>
      <c r="AI68" s="28"/>
    </row>
    <row r="69" spans="1:35" ht="12" customHeight="1" x14ac:dyDescent="0.25">
      <c r="A69" s="28"/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97"/>
      <c r="M69" s="98"/>
      <c r="N69" s="97"/>
      <c r="O69" s="98"/>
      <c r="P69" s="98"/>
      <c r="Q69" s="97"/>
      <c r="R69" s="189"/>
      <c r="S69" s="189"/>
      <c r="T69" s="190"/>
      <c r="U69" s="28"/>
      <c r="V69" s="95"/>
      <c r="W69" s="95"/>
      <c r="X69" s="95"/>
      <c r="Y69" s="95"/>
      <c r="Z69" s="95"/>
      <c r="AA69" s="95"/>
      <c r="AB69" s="95"/>
      <c r="AC69" s="28"/>
      <c r="AD69" s="28"/>
      <c r="AE69" s="28"/>
      <c r="AF69" s="28"/>
      <c r="AG69" s="28"/>
      <c r="AH69" s="28"/>
      <c r="AI69" s="28"/>
    </row>
    <row r="70" spans="1:35" ht="12" customHeight="1" x14ac:dyDescent="0.25">
      <c r="A70" s="28"/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97"/>
      <c r="M70" s="98"/>
      <c r="N70" s="97"/>
      <c r="O70" s="98"/>
      <c r="P70" s="98"/>
      <c r="Q70" s="97"/>
      <c r="R70" s="189"/>
      <c r="S70" s="189"/>
      <c r="T70" s="190"/>
      <c r="U70" s="28"/>
      <c r="V70" s="95"/>
      <c r="W70" s="95"/>
      <c r="X70" s="95"/>
      <c r="Y70" s="95"/>
      <c r="Z70" s="95"/>
      <c r="AA70" s="95"/>
      <c r="AB70" s="95"/>
      <c r="AC70" s="28"/>
      <c r="AD70" s="28"/>
      <c r="AE70" s="28"/>
      <c r="AF70" s="28"/>
      <c r="AG70" s="28"/>
      <c r="AH70" s="28"/>
      <c r="AI70" s="28"/>
    </row>
    <row r="71" spans="1:35" ht="12" customHeight="1" x14ac:dyDescent="0.25">
      <c r="A71" s="28"/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97"/>
      <c r="M71" s="98"/>
      <c r="N71" s="97"/>
      <c r="O71" s="98"/>
      <c r="P71" s="98"/>
      <c r="Q71" s="97"/>
      <c r="R71" s="189"/>
      <c r="S71" s="189"/>
      <c r="T71" s="190"/>
      <c r="U71" s="28"/>
      <c r="V71" s="95"/>
      <c r="W71" s="95"/>
      <c r="X71" s="95"/>
      <c r="Y71" s="95"/>
      <c r="Z71" s="95"/>
      <c r="AA71" s="95"/>
      <c r="AB71" s="95"/>
      <c r="AC71" s="28"/>
      <c r="AD71" s="28"/>
      <c r="AE71" s="28"/>
      <c r="AF71" s="28"/>
      <c r="AG71" s="28"/>
      <c r="AH71" s="28"/>
      <c r="AI71" s="28"/>
    </row>
    <row r="72" spans="1:35" ht="12" customHeight="1" x14ac:dyDescent="0.25">
      <c r="A72" s="28"/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97"/>
      <c r="M72" s="98"/>
      <c r="N72" s="97"/>
      <c r="O72" s="98"/>
      <c r="P72" s="98"/>
      <c r="Q72" s="97"/>
      <c r="R72" s="189"/>
      <c r="S72" s="189"/>
      <c r="T72" s="190"/>
      <c r="U72" s="28"/>
      <c r="V72" s="95"/>
      <c r="W72" s="95"/>
      <c r="X72" s="95"/>
      <c r="Y72" s="95"/>
      <c r="Z72" s="95"/>
      <c r="AA72" s="95"/>
      <c r="AB72" s="95"/>
      <c r="AC72" s="28"/>
      <c r="AD72" s="28"/>
      <c r="AE72" s="28"/>
      <c r="AF72" s="28"/>
      <c r="AG72" s="28"/>
      <c r="AH72" s="28"/>
      <c r="AI72" s="28"/>
    </row>
    <row r="73" spans="1:35" ht="12" customHeight="1" x14ac:dyDescent="0.25">
      <c r="A73" s="28"/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97"/>
      <c r="M73" s="98"/>
      <c r="N73" s="97"/>
      <c r="O73" s="98"/>
      <c r="P73" s="98"/>
      <c r="Q73" s="97"/>
      <c r="R73" s="189"/>
      <c r="S73" s="189"/>
      <c r="T73" s="190"/>
      <c r="U73" s="28"/>
      <c r="V73" s="95"/>
      <c r="W73" s="95"/>
      <c r="X73" s="95"/>
      <c r="Y73" s="95"/>
      <c r="Z73" s="95"/>
      <c r="AA73" s="95"/>
      <c r="AB73" s="95"/>
      <c r="AC73" s="28"/>
      <c r="AD73" s="28"/>
      <c r="AE73" s="28"/>
      <c r="AF73" s="28"/>
      <c r="AG73" s="28"/>
      <c r="AH73" s="28"/>
      <c r="AI73" s="28"/>
    </row>
    <row r="74" spans="1:35" ht="12" customHeight="1" x14ac:dyDescent="0.25">
      <c r="A74" s="28"/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97"/>
      <c r="M74" s="98"/>
      <c r="N74" s="97"/>
      <c r="O74" s="98"/>
      <c r="P74" s="98"/>
      <c r="Q74" s="97"/>
      <c r="R74" s="189"/>
      <c r="S74" s="189"/>
      <c r="T74" s="190"/>
      <c r="U74" s="28"/>
      <c r="V74" s="95"/>
      <c r="W74" s="95"/>
      <c r="X74" s="95"/>
      <c r="Y74" s="95"/>
      <c r="Z74" s="95"/>
      <c r="AA74" s="95"/>
      <c r="AB74" s="95"/>
      <c r="AC74" s="28"/>
      <c r="AD74" s="28"/>
      <c r="AE74" s="28"/>
      <c r="AF74" s="28"/>
      <c r="AG74" s="28"/>
      <c r="AH74" s="28"/>
      <c r="AI74" s="28"/>
    </row>
    <row r="75" spans="1:35" ht="12" customHeight="1" x14ac:dyDescent="0.25">
      <c r="A75" s="28"/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97"/>
      <c r="M75" s="98"/>
      <c r="N75" s="97"/>
      <c r="O75" s="98"/>
      <c r="P75" s="98"/>
      <c r="Q75" s="97"/>
      <c r="R75" s="189"/>
      <c r="S75" s="189"/>
      <c r="T75" s="190"/>
      <c r="U75" s="28"/>
      <c r="V75" s="95"/>
      <c r="W75" s="95"/>
      <c r="X75" s="95"/>
      <c r="Y75" s="95"/>
      <c r="Z75" s="95"/>
      <c r="AA75" s="95"/>
      <c r="AB75" s="95"/>
      <c r="AC75" s="28"/>
      <c r="AD75" s="28"/>
      <c r="AE75" s="28"/>
      <c r="AF75" s="28"/>
      <c r="AG75" s="28"/>
      <c r="AH75" s="28"/>
      <c r="AI75" s="28"/>
    </row>
    <row r="76" spans="1:35" ht="12" customHeight="1" x14ac:dyDescent="0.25">
      <c r="A76" s="28"/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97"/>
      <c r="M76" s="98"/>
      <c r="N76" s="97"/>
      <c r="O76" s="98"/>
      <c r="P76" s="98"/>
      <c r="Q76" s="97"/>
      <c r="R76" s="189"/>
      <c r="S76" s="189"/>
      <c r="T76" s="190"/>
      <c r="U76" s="28"/>
      <c r="V76" s="95"/>
      <c r="W76" s="95"/>
      <c r="X76" s="95"/>
      <c r="Y76" s="95"/>
      <c r="Z76" s="95"/>
      <c r="AA76" s="95"/>
      <c r="AB76" s="95"/>
      <c r="AC76" s="28"/>
      <c r="AD76" s="28"/>
      <c r="AE76" s="28"/>
      <c r="AF76" s="28"/>
      <c r="AG76" s="28"/>
      <c r="AH76" s="28"/>
      <c r="AI76" s="28"/>
    </row>
    <row r="77" spans="1:35" ht="12" customHeight="1" x14ac:dyDescent="0.25">
      <c r="A77" s="28"/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97"/>
      <c r="M77" s="98"/>
      <c r="N77" s="97"/>
      <c r="O77" s="98"/>
      <c r="P77" s="98"/>
      <c r="Q77" s="97"/>
      <c r="R77" s="189"/>
      <c r="S77" s="189"/>
      <c r="T77" s="190"/>
      <c r="U77" s="28"/>
      <c r="V77" s="95"/>
      <c r="W77" s="95"/>
      <c r="X77" s="95"/>
      <c r="Y77" s="95"/>
      <c r="Z77" s="95"/>
      <c r="AA77" s="95"/>
      <c r="AB77" s="95"/>
      <c r="AC77" s="28"/>
      <c r="AD77" s="28"/>
      <c r="AE77" s="28"/>
      <c r="AF77" s="28"/>
      <c r="AG77" s="28"/>
      <c r="AH77" s="28"/>
      <c r="AI77" s="28"/>
    </row>
    <row r="78" spans="1:35" ht="12" customHeight="1" x14ac:dyDescent="0.25">
      <c r="A78" s="28"/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97"/>
      <c r="M78" s="98"/>
      <c r="N78" s="97"/>
      <c r="O78" s="98"/>
      <c r="P78" s="98"/>
      <c r="Q78" s="97"/>
      <c r="R78" s="189"/>
      <c r="S78" s="189"/>
      <c r="T78" s="190"/>
      <c r="U78" s="28"/>
      <c r="V78" s="95"/>
      <c r="W78" s="95"/>
      <c r="X78" s="95"/>
      <c r="Y78" s="95"/>
      <c r="Z78" s="95"/>
      <c r="AA78" s="95"/>
      <c r="AB78" s="95"/>
      <c r="AC78" s="28"/>
      <c r="AD78" s="28"/>
      <c r="AE78" s="28"/>
      <c r="AF78" s="28"/>
      <c r="AG78" s="28"/>
      <c r="AH78" s="28"/>
      <c r="AI78" s="28"/>
    </row>
    <row r="79" spans="1:35" ht="12" customHeight="1" x14ac:dyDescent="0.25">
      <c r="A79" s="28"/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97"/>
      <c r="M79" s="98"/>
      <c r="N79" s="97"/>
      <c r="O79" s="98"/>
      <c r="P79" s="98"/>
      <c r="Q79" s="97"/>
      <c r="R79" s="189"/>
      <c r="S79" s="189"/>
      <c r="T79" s="190"/>
      <c r="U79" s="28"/>
      <c r="V79" s="95"/>
      <c r="W79" s="95"/>
      <c r="X79" s="95"/>
      <c r="Y79" s="95"/>
      <c r="Z79" s="95"/>
      <c r="AA79" s="95"/>
      <c r="AB79" s="95"/>
      <c r="AC79" s="28"/>
      <c r="AD79" s="28"/>
      <c r="AE79" s="28"/>
      <c r="AF79" s="28"/>
      <c r="AG79" s="28"/>
      <c r="AH79" s="28"/>
      <c r="AI79" s="28"/>
    </row>
    <row r="80" spans="1:35" ht="12" customHeight="1" x14ac:dyDescent="0.25">
      <c r="A80" s="28"/>
      <c r="B80" s="28"/>
      <c r="C80" s="28"/>
      <c r="D80" s="28"/>
      <c r="E80" s="28"/>
      <c r="F80" s="28"/>
      <c r="G80" s="28"/>
      <c r="H80" s="28"/>
      <c r="I80" s="28"/>
      <c r="J80" s="28"/>
      <c r="K80" s="28"/>
      <c r="L80" s="97"/>
      <c r="M80" s="98"/>
      <c r="N80" s="97"/>
      <c r="O80" s="98"/>
      <c r="P80" s="98"/>
      <c r="Q80" s="97"/>
      <c r="R80" s="189"/>
      <c r="S80" s="189"/>
      <c r="T80" s="190"/>
      <c r="U80" s="28"/>
      <c r="V80" s="95"/>
      <c r="W80" s="95"/>
      <c r="X80" s="95"/>
      <c r="Y80" s="95"/>
      <c r="Z80" s="95"/>
      <c r="AA80" s="95"/>
      <c r="AB80" s="95"/>
      <c r="AC80" s="28"/>
      <c r="AD80" s="28"/>
      <c r="AE80" s="28"/>
      <c r="AF80" s="28"/>
      <c r="AG80" s="28"/>
      <c r="AH80" s="28"/>
      <c r="AI80" s="28"/>
    </row>
    <row r="81" spans="1:35" ht="12" customHeight="1" x14ac:dyDescent="0.25">
      <c r="A81" s="28"/>
      <c r="B81" s="28"/>
      <c r="C81" s="28"/>
      <c r="D81" s="28"/>
      <c r="E81" s="28"/>
      <c r="F81" s="28"/>
      <c r="G81" s="28"/>
      <c r="H81" s="28"/>
      <c r="I81" s="28"/>
      <c r="J81" s="28"/>
      <c r="K81" s="28"/>
      <c r="L81" s="97"/>
      <c r="M81" s="98"/>
      <c r="N81" s="97"/>
      <c r="O81" s="98"/>
      <c r="P81" s="98"/>
      <c r="Q81" s="97"/>
      <c r="R81" s="189"/>
      <c r="S81" s="189"/>
      <c r="T81" s="190"/>
      <c r="U81" s="28"/>
      <c r="V81" s="95"/>
      <c r="W81" s="95"/>
      <c r="X81" s="95"/>
      <c r="Y81" s="95"/>
      <c r="Z81" s="95"/>
      <c r="AA81" s="95"/>
      <c r="AB81" s="95"/>
      <c r="AC81" s="28"/>
      <c r="AD81" s="28"/>
      <c r="AE81" s="28"/>
      <c r="AF81" s="28"/>
      <c r="AG81" s="28"/>
      <c r="AH81" s="28"/>
      <c r="AI81" s="28"/>
    </row>
    <row r="82" spans="1:35" ht="12" customHeight="1" x14ac:dyDescent="0.25">
      <c r="A82" s="28"/>
      <c r="B82" s="28"/>
      <c r="C82" s="28"/>
      <c r="D82" s="28"/>
      <c r="E82" s="28"/>
      <c r="F82" s="28"/>
      <c r="G82" s="28"/>
      <c r="H82" s="28"/>
      <c r="I82" s="28"/>
      <c r="J82" s="28"/>
      <c r="K82" s="28"/>
      <c r="L82" s="97"/>
      <c r="M82" s="98"/>
      <c r="N82" s="97"/>
      <c r="O82" s="98"/>
      <c r="P82" s="98"/>
      <c r="Q82" s="97"/>
      <c r="R82" s="189"/>
      <c r="S82" s="189"/>
      <c r="T82" s="190"/>
      <c r="U82" s="28"/>
      <c r="V82" s="95"/>
      <c r="W82" s="95"/>
      <c r="X82" s="95"/>
      <c r="Y82" s="95"/>
      <c r="Z82" s="95"/>
      <c r="AA82" s="95"/>
      <c r="AB82" s="95"/>
      <c r="AC82" s="28"/>
      <c r="AD82" s="28"/>
      <c r="AE82" s="28"/>
      <c r="AF82" s="28"/>
      <c r="AG82" s="28"/>
      <c r="AH82" s="28"/>
      <c r="AI82" s="28"/>
    </row>
    <row r="83" spans="1:35" ht="12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97"/>
      <c r="M83" s="98"/>
      <c r="N83" s="97"/>
      <c r="O83" s="98"/>
      <c r="P83" s="98"/>
      <c r="Q83" s="97"/>
      <c r="R83" s="189"/>
      <c r="S83" s="189"/>
      <c r="T83" s="190"/>
      <c r="U83" s="28"/>
      <c r="V83" s="95"/>
      <c r="W83" s="95"/>
      <c r="X83" s="95"/>
      <c r="Y83" s="95"/>
      <c r="Z83" s="95"/>
      <c r="AA83" s="95"/>
      <c r="AB83" s="95"/>
      <c r="AC83" s="28"/>
      <c r="AD83" s="28"/>
      <c r="AE83" s="28"/>
      <c r="AF83" s="28"/>
      <c r="AG83" s="28"/>
      <c r="AH83" s="28"/>
      <c r="AI83" s="28"/>
    </row>
    <row r="84" spans="1:35" ht="12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97"/>
      <c r="M84" s="98"/>
      <c r="N84" s="97"/>
      <c r="O84" s="98"/>
      <c r="P84" s="98"/>
      <c r="Q84" s="97"/>
      <c r="R84" s="189"/>
      <c r="S84" s="189"/>
      <c r="T84" s="190"/>
      <c r="U84" s="28"/>
      <c r="V84" s="95"/>
      <c r="W84" s="95"/>
      <c r="X84" s="95"/>
      <c r="Y84" s="95"/>
      <c r="Z84" s="95"/>
      <c r="AA84" s="95"/>
      <c r="AB84" s="95"/>
      <c r="AC84" s="28"/>
      <c r="AD84" s="28"/>
      <c r="AE84" s="28"/>
      <c r="AF84" s="28"/>
      <c r="AG84" s="28"/>
      <c r="AH84" s="28"/>
      <c r="AI84" s="28"/>
    </row>
    <row r="85" spans="1:35" ht="12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97"/>
      <c r="M85" s="98"/>
      <c r="N85" s="97"/>
      <c r="O85" s="98"/>
      <c r="P85" s="98"/>
      <c r="Q85" s="97"/>
      <c r="R85" s="189"/>
      <c r="S85" s="189"/>
      <c r="T85" s="190"/>
      <c r="U85" s="28"/>
      <c r="V85" s="95"/>
      <c r="W85" s="95"/>
      <c r="X85" s="95"/>
      <c r="Y85" s="95"/>
      <c r="Z85" s="95"/>
      <c r="AA85" s="95"/>
      <c r="AB85" s="95"/>
      <c r="AC85" s="28"/>
      <c r="AD85" s="28"/>
      <c r="AE85" s="28"/>
      <c r="AF85" s="28"/>
      <c r="AG85" s="28"/>
      <c r="AH85" s="28"/>
      <c r="AI85" s="28"/>
    </row>
    <row r="86" spans="1:35" ht="12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97"/>
      <c r="M86" s="98"/>
      <c r="N86" s="97"/>
      <c r="O86" s="98"/>
      <c r="P86" s="98"/>
      <c r="Q86" s="97"/>
      <c r="R86" s="189"/>
      <c r="S86" s="189"/>
      <c r="T86" s="190"/>
      <c r="U86" s="28"/>
      <c r="V86" s="95"/>
      <c r="W86" s="95"/>
      <c r="X86" s="95"/>
      <c r="Y86" s="95"/>
      <c r="Z86" s="95"/>
      <c r="AA86" s="95"/>
      <c r="AB86" s="95"/>
      <c r="AC86" s="28"/>
      <c r="AD86" s="28"/>
      <c r="AE86" s="28"/>
      <c r="AF86" s="28"/>
      <c r="AG86" s="28"/>
      <c r="AH86" s="28"/>
      <c r="AI86" s="28"/>
    </row>
    <row r="87" spans="1:35" ht="12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97"/>
      <c r="M87" s="98"/>
      <c r="N87" s="97"/>
      <c r="O87" s="98"/>
      <c r="P87" s="98"/>
      <c r="Q87" s="97"/>
      <c r="R87" s="189"/>
      <c r="S87" s="189"/>
      <c r="T87" s="190"/>
      <c r="U87" s="28"/>
      <c r="V87" s="95"/>
      <c r="W87" s="95"/>
      <c r="X87" s="95"/>
      <c r="Y87" s="95"/>
      <c r="Z87" s="95"/>
      <c r="AA87" s="95"/>
      <c r="AB87" s="95"/>
      <c r="AC87" s="28"/>
      <c r="AD87" s="28"/>
      <c r="AE87" s="28"/>
      <c r="AF87" s="28"/>
      <c r="AG87" s="28"/>
      <c r="AH87" s="28"/>
      <c r="AI87" s="28"/>
    </row>
    <row r="88" spans="1:35" ht="12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97"/>
      <c r="M88" s="98"/>
      <c r="N88" s="97"/>
      <c r="O88" s="98"/>
      <c r="P88" s="98"/>
      <c r="Q88" s="97"/>
      <c r="R88" s="189"/>
      <c r="S88" s="189"/>
      <c r="T88" s="190"/>
      <c r="U88" s="28"/>
      <c r="V88" s="95"/>
      <c r="W88" s="95"/>
      <c r="X88" s="95"/>
      <c r="Y88" s="95"/>
      <c r="Z88" s="95"/>
      <c r="AA88" s="95"/>
      <c r="AB88" s="95"/>
      <c r="AC88" s="28"/>
      <c r="AD88" s="28"/>
      <c r="AE88" s="28"/>
      <c r="AF88" s="28"/>
      <c r="AG88" s="28"/>
      <c r="AH88" s="28"/>
      <c r="AI88" s="28"/>
    </row>
    <row r="89" spans="1:35" ht="12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97"/>
      <c r="M89" s="98"/>
      <c r="N89" s="97"/>
      <c r="O89" s="98"/>
      <c r="P89" s="98"/>
      <c r="Q89" s="97"/>
      <c r="R89" s="189"/>
      <c r="S89" s="189"/>
      <c r="T89" s="190"/>
      <c r="U89" s="28"/>
      <c r="V89" s="95"/>
      <c r="W89" s="95"/>
      <c r="X89" s="95"/>
      <c r="Y89" s="95"/>
      <c r="Z89" s="95"/>
      <c r="AA89" s="95"/>
      <c r="AB89" s="95"/>
      <c r="AC89" s="28"/>
      <c r="AD89" s="28"/>
      <c r="AE89" s="28"/>
      <c r="AF89" s="28"/>
      <c r="AG89" s="28"/>
      <c r="AH89" s="28"/>
      <c r="AI89" s="28"/>
    </row>
    <row r="90" spans="1:35" ht="12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97"/>
      <c r="M90" s="98"/>
      <c r="N90" s="97"/>
      <c r="O90" s="98"/>
      <c r="P90" s="98"/>
      <c r="Q90" s="97"/>
      <c r="R90" s="189"/>
      <c r="S90" s="189"/>
      <c r="T90" s="190"/>
      <c r="U90" s="28"/>
      <c r="V90" s="95"/>
      <c r="W90" s="95"/>
      <c r="X90" s="95"/>
      <c r="Y90" s="95"/>
      <c r="Z90" s="95"/>
      <c r="AA90" s="95"/>
      <c r="AB90" s="95"/>
      <c r="AC90" s="28"/>
      <c r="AD90" s="28"/>
      <c r="AE90" s="28"/>
      <c r="AF90" s="28"/>
      <c r="AG90" s="28"/>
      <c r="AH90" s="28"/>
      <c r="AI90" s="28"/>
    </row>
    <row r="91" spans="1:35" ht="12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97"/>
      <c r="M91" s="98"/>
      <c r="N91" s="97"/>
      <c r="O91" s="98"/>
      <c r="P91" s="98"/>
      <c r="Q91" s="97"/>
      <c r="R91" s="189"/>
      <c r="S91" s="189"/>
      <c r="T91" s="190"/>
      <c r="U91" s="28"/>
      <c r="V91" s="95"/>
      <c r="W91" s="95"/>
      <c r="X91" s="95"/>
      <c r="Y91" s="95"/>
      <c r="Z91" s="95"/>
      <c r="AA91" s="95"/>
      <c r="AB91" s="95"/>
      <c r="AC91" s="28"/>
      <c r="AD91" s="28"/>
      <c r="AE91" s="28"/>
      <c r="AF91" s="28"/>
      <c r="AG91" s="28"/>
      <c r="AH91" s="28"/>
      <c r="AI91" s="28"/>
    </row>
    <row r="92" spans="1:35" ht="12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97"/>
      <c r="M92" s="98"/>
      <c r="N92" s="97"/>
      <c r="O92" s="98"/>
      <c r="P92" s="98"/>
      <c r="Q92" s="97"/>
      <c r="R92" s="189"/>
      <c r="S92" s="189"/>
      <c r="T92" s="190"/>
      <c r="U92" s="28"/>
      <c r="V92" s="95"/>
      <c r="W92" s="95"/>
      <c r="X92" s="95"/>
      <c r="Y92" s="95"/>
      <c r="Z92" s="95"/>
      <c r="AA92" s="95"/>
      <c r="AB92" s="95"/>
      <c r="AC92" s="28"/>
      <c r="AD92" s="28"/>
      <c r="AE92" s="28"/>
      <c r="AF92" s="28"/>
      <c r="AG92" s="28"/>
      <c r="AH92" s="28"/>
      <c r="AI92" s="28"/>
    </row>
    <row r="93" spans="1:35" ht="12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97"/>
      <c r="M93" s="98"/>
      <c r="N93" s="97"/>
      <c r="O93" s="98"/>
      <c r="P93" s="98"/>
      <c r="Q93" s="97"/>
      <c r="R93" s="189"/>
      <c r="S93" s="189"/>
      <c r="T93" s="190"/>
      <c r="U93" s="28"/>
      <c r="V93" s="95"/>
      <c r="W93" s="95"/>
      <c r="X93" s="95"/>
      <c r="Y93" s="95"/>
      <c r="Z93" s="95"/>
      <c r="AA93" s="95"/>
      <c r="AB93" s="95"/>
      <c r="AC93" s="28"/>
      <c r="AD93" s="28"/>
      <c r="AE93" s="28"/>
      <c r="AF93" s="28"/>
      <c r="AG93" s="28"/>
      <c r="AH93" s="28"/>
      <c r="AI93" s="28"/>
    </row>
    <row r="94" spans="1:35" ht="12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97"/>
      <c r="M94" s="98"/>
      <c r="N94" s="97"/>
      <c r="O94" s="98"/>
      <c r="P94" s="98"/>
      <c r="Q94" s="97"/>
      <c r="R94" s="189"/>
      <c r="S94" s="189"/>
      <c r="T94" s="190"/>
      <c r="U94" s="28"/>
      <c r="V94" s="95"/>
      <c r="W94" s="95"/>
      <c r="X94" s="95"/>
      <c r="Y94" s="95"/>
      <c r="Z94" s="95"/>
      <c r="AA94" s="95"/>
      <c r="AB94" s="95"/>
      <c r="AC94" s="28"/>
      <c r="AD94" s="28"/>
      <c r="AE94" s="28"/>
      <c r="AF94" s="28"/>
      <c r="AG94" s="28"/>
      <c r="AH94" s="28"/>
      <c r="AI94" s="28"/>
    </row>
    <row r="95" spans="1:35" ht="12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97"/>
      <c r="M95" s="98"/>
      <c r="N95" s="97"/>
      <c r="O95" s="98"/>
      <c r="P95" s="98"/>
      <c r="Q95" s="97"/>
      <c r="R95" s="189"/>
      <c r="S95" s="189"/>
      <c r="T95" s="190"/>
      <c r="U95" s="28"/>
      <c r="V95" s="95"/>
      <c r="W95" s="95"/>
      <c r="X95" s="95"/>
      <c r="Y95" s="95"/>
      <c r="Z95" s="95"/>
      <c r="AA95" s="95"/>
      <c r="AB95" s="95"/>
      <c r="AC95" s="28"/>
      <c r="AD95" s="28"/>
      <c r="AE95" s="28"/>
      <c r="AF95" s="28"/>
      <c r="AG95" s="28"/>
      <c r="AH95" s="28"/>
      <c r="AI95" s="28"/>
    </row>
    <row r="96" spans="1:35" ht="12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97"/>
      <c r="M96" s="98"/>
      <c r="N96" s="97"/>
      <c r="O96" s="98"/>
      <c r="P96" s="98"/>
      <c r="Q96" s="97"/>
      <c r="R96" s="189"/>
      <c r="S96" s="189"/>
      <c r="T96" s="190"/>
      <c r="U96" s="28"/>
      <c r="V96" s="95"/>
      <c r="W96" s="95"/>
      <c r="X96" s="95"/>
      <c r="Y96" s="95"/>
      <c r="Z96" s="95"/>
      <c r="AA96" s="95"/>
      <c r="AB96" s="95"/>
      <c r="AC96" s="28"/>
      <c r="AD96" s="28"/>
      <c r="AE96" s="28"/>
      <c r="AF96" s="28"/>
      <c r="AG96" s="28"/>
      <c r="AH96" s="28"/>
      <c r="AI96" s="28"/>
    </row>
    <row r="97" spans="1:35" ht="12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97"/>
      <c r="M97" s="98"/>
      <c r="N97" s="97"/>
      <c r="O97" s="98"/>
      <c r="P97" s="98"/>
      <c r="Q97" s="97"/>
      <c r="R97" s="189"/>
      <c r="S97" s="189"/>
      <c r="T97" s="190"/>
      <c r="U97" s="28"/>
      <c r="V97" s="95"/>
      <c r="W97" s="95"/>
      <c r="X97" s="95"/>
      <c r="Y97" s="95"/>
      <c r="Z97" s="95"/>
      <c r="AA97" s="95"/>
      <c r="AB97" s="95"/>
      <c r="AC97" s="28"/>
      <c r="AD97" s="28"/>
      <c r="AE97" s="28"/>
      <c r="AF97" s="28"/>
      <c r="AG97" s="28"/>
      <c r="AH97" s="28"/>
      <c r="AI97" s="28"/>
    </row>
    <row r="98" spans="1:35" ht="12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97"/>
      <c r="M98" s="98"/>
      <c r="N98" s="97"/>
      <c r="O98" s="98"/>
      <c r="P98" s="98"/>
      <c r="Q98" s="97"/>
      <c r="R98" s="189"/>
      <c r="S98" s="189"/>
      <c r="T98" s="190"/>
      <c r="U98" s="28"/>
      <c r="V98" s="95"/>
      <c r="W98" s="95"/>
      <c r="X98" s="95"/>
      <c r="Y98" s="95"/>
      <c r="Z98" s="95"/>
      <c r="AA98" s="95"/>
      <c r="AB98" s="95"/>
      <c r="AC98" s="28"/>
      <c r="AD98" s="28"/>
      <c r="AE98" s="28"/>
      <c r="AF98" s="28"/>
      <c r="AG98" s="28"/>
      <c r="AH98" s="28"/>
      <c r="AI98" s="28"/>
    </row>
    <row r="99" spans="1:35" ht="12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97"/>
      <c r="M99" s="98"/>
      <c r="N99" s="97"/>
      <c r="O99" s="98"/>
      <c r="P99" s="98"/>
      <c r="Q99" s="97"/>
      <c r="R99" s="189"/>
      <c r="S99" s="189"/>
      <c r="T99" s="190"/>
      <c r="U99" s="28"/>
      <c r="V99" s="95"/>
      <c r="W99" s="95"/>
      <c r="X99" s="95"/>
      <c r="Y99" s="95"/>
      <c r="Z99" s="95"/>
      <c r="AA99" s="95"/>
      <c r="AB99" s="95"/>
      <c r="AC99" s="28"/>
      <c r="AD99" s="28"/>
      <c r="AE99" s="28"/>
      <c r="AF99" s="28"/>
      <c r="AG99" s="28"/>
      <c r="AH99" s="28"/>
      <c r="AI99" s="28"/>
    </row>
    <row r="100" spans="1:35" ht="12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97"/>
      <c r="M100" s="98"/>
      <c r="N100" s="97"/>
      <c r="O100" s="98"/>
      <c r="P100" s="98"/>
      <c r="Q100" s="97"/>
      <c r="R100" s="189"/>
      <c r="S100" s="189"/>
      <c r="T100" s="190"/>
      <c r="U100" s="28"/>
      <c r="V100" s="95"/>
      <c r="W100" s="95"/>
      <c r="X100" s="95"/>
      <c r="Y100" s="95"/>
      <c r="Z100" s="95"/>
      <c r="AA100" s="95"/>
      <c r="AB100" s="95"/>
      <c r="AC100" s="28"/>
      <c r="AD100" s="28"/>
      <c r="AE100" s="28"/>
      <c r="AF100" s="28"/>
      <c r="AG100" s="28"/>
      <c r="AH100" s="28"/>
      <c r="AI100" s="28"/>
    </row>
  </sheetData>
  <autoFilter ref="A3:AI13" xr:uid="{00000000-0009-0000-0000-000002000000}"/>
  <conditionalFormatting sqref="R4:R13">
    <cfRule type="notContainsBlanks" dxfId="6" priority="1">
      <formula>LEN(TRIM(R4))&gt;0</formula>
    </cfRule>
  </conditionalFormatting>
  <conditionalFormatting sqref="AH4:AI13">
    <cfRule type="cellIs" dxfId="5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1" t="s">
        <v>156</v>
      </c>
      <c r="B1" s="95"/>
      <c r="C1" s="97"/>
      <c r="D1" s="97"/>
      <c r="E1" s="95"/>
      <c r="F1" s="95"/>
      <c r="G1" s="95"/>
      <c r="H1" s="28"/>
      <c r="I1" s="28"/>
      <c r="J1" s="28"/>
      <c r="K1" s="97"/>
      <c r="L1" s="98"/>
      <c r="M1" s="95"/>
      <c r="N1" s="98"/>
      <c r="O1" s="28"/>
      <c r="P1" s="95"/>
      <c r="Q1" s="28"/>
      <c r="R1" s="28"/>
      <c r="S1" s="28"/>
      <c r="T1" s="28"/>
      <c r="U1" s="97"/>
      <c r="V1" s="97"/>
      <c r="W1" s="97"/>
      <c r="X1" s="97"/>
      <c r="Y1" s="97"/>
      <c r="Z1" s="97"/>
      <c r="AA1" s="97"/>
      <c r="AB1" s="97"/>
      <c r="AC1" s="97"/>
      <c r="AD1" s="97"/>
      <c r="AE1" s="28"/>
      <c r="AF1" s="95"/>
      <c r="AG1" s="95"/>
      <c r="AH1" s="95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</row>
    <row r="2" spans="1:48" ht="31.5" customHeight="1" x14ac:dyDescent="0.25">
      <c r="A2" s="2"/>
      <c r="B2" s="95"/>
      <c r="C2" s="97"/>
      <c r="D2" s="97"/>
      <c r="E2" s="95"/>
      <c r="F2" s="95"/>
      <c r="G2" s="95"/>
      <c r="H2" s="28"/>
      <c r="I2" s="28"/>
      <c r="J2" s="28"/>
      <c r="K2" s="97"/>
      <c r="L2" s="98"/>
      <c r="M2" s="95"/>
      <c r="N2" s="98"/>
      <c r="O2" s="28"/>
      <c r="P2" s="391" t="s">
        <v>157</v>
      </c>
      <c r="Q2" s="392"/>
      <c r="R2" s="393" t="s">
        <v>158</v>
      </c>
      <c r="S2" s="394"/>
      <c r="T2" s="28"/>
      <c r="U2" s="396" t="s">
        <v>159</v>
      </c>
      <c r="V2" s="384"/>
      <c r="W2" s="397" t="s">
        <v>159</v>
      </c>
      <c r="X2" s="387"/>
      <c r="Y2" s="387"/>
      <c r="Z2" s="387"/>
      <c r="AA2" s="387"/>
      <c r="AB2" s="387"/>
      <c r="AC2" s="387"/>
      <c r="AD2" s="398"/>
      <c r="AE2" s="389" t="s">
        <v>62</v>
      </c>
      <c r="AF2" s="390"/>
      <c r="AG2" s="386" t="s">
        <v>160</v>
      </c>
      <c r="AH2" s="387"/>
      <c r="AI2" s="387"/>
      <c r="AJ2" s="387"/>
      <c r="AK2" s="387"/>
      <c r="AL2" s="387"/>
      <c r="AM2" s="387"/>
      <c r="AN2" s="388"/>
      <c r="AO2" s="252"/>
      <c r="AP2" s="252"/>
      <c r="AQ2" s="252"/>
      <c r="AR2" s="253"/>
      <c r="AS2" s="28"/>
      <c r="AT2" s="28"/>
      <c r="AU2" s="28"/>
      <c r="AV2" s="28"/>
    </row>
    <row r="3" spans="1:48" ht="48" customHeight="1" x14ac:dyDescent="0.25">
      <c r="A3" s="254" t="s">
        <v>95</v>
      </c>
      <c r="B3" s="255" t="s">
        <v>4</v>
      </c>
      <c r="C3" s="256" t="s">
        <v>17</v>
      </c>
      <c r="D3" s="256" t="s">
        <v>161</v>
      </c>
      <c r="E3" s="256" t="s">
        <v>64</v>
      </c>
      <c r="F3" s="256" t="s">
        <v>162</v>
      </c>
      <c r="G3" s="256" t="s">
        <v>66</v>
      </c>
      <c r="H3" s="256" t="s">
        <v>67</v>
      </c>
      <c r="I3" s="254" t="s">
        <v>68</v>
      </c>
      <c r="J3" s="256" t="s">
        <v>69</v>
      </c>
      <c r="K3" s="256" t="s">
        <v>15</v>
      </c>
      <c r="L3" s="256" t="s">
        <v>99</v>
      </c>
      <c r="M3" s="254" t="s">
        <v>26</v>
      </c>
      <c r="N3" s="257" t="s">
        <v>5</v>
      </c>
      <c r="O3" s="257" t="s">
        <v>6</v>
      </c>
      <c r="P3" s="258" t="s">
        <v>163</v>
      </c>
      <c r="Q3" s="259" t="s">
        <v>10</v>
      </c>
      <c r="R3" s="259" t="s">
        <v>163</v>
      </c>
      <c r="S3" s="260" t="s">
        <v>10</v>
      </c>
      <c r="T3" s="261" t="s">
        <v>164</v>
      </c>
      <c r="U3" s="395" t="s">
        <v>165</v>
      </c>
      <c r="V3" s="384"/>
      <c r="W3" s="262" t="s">
        <v>166</v>
      </c>
      <c r="X3" s="263" t="s">
        <v>167</v>
      </c>
      <c r="Y3" s="108" t="s">
        <v>168</v>
      </c>
      <c r="Z3" s="264" t="s">
        <v>169</v>
      </c>
      <c r="AA3" s="120" t="s">
        <v>170</v>
      </c>
      <c r="AB3" s="265" t="s">
        <v>171</v>
      </c>
      <c r="AC3" s="108" t="s">
        <v>172</v>
      </c>
      <c r="AD3" s="266" t="s">
        <v>81</v>
      </c>
      <c r="AE3" s="267" t="s">
        <v>82</v>
      </c>
      <c r="AF3" s="268" t="s">
        <v>10</v>
      </c>
      <c r="AG3" s="269" t="s">
        <v>173</v>
      </c>
      <c r="AH3" s="270" t="s">
        <v>73</v>
      </c>
      <c r="AI3" s="270" t="s">
        <v>174</v>
      </c>
      <c r="AJ3" s="270" t="s">
        <v>175</v>
      </c>
      <c r="AK3" s="271" t="s">
        <v>176</v>
      </c>
      <c r="AL3" s="272" t="s">
        <v>177</v>
      </c>
      <c r="AM3" s="272" t="s">
        <v>178</v>
      </c>
      <c r="AN3" s="272" t="s">
        <v>179</v>
      </c>
      <c r="AO3" s="273" t="s">
        <v>180</v>
      </c>
      <c r="AP3" s="270" t="s">
        <v>181</v>
      </c>
      <c r="AQ3" s="274" t="s">
        <v>89</v>
      </c>
      <c r="AR3" s="269" t="s">
        <v>182</v>
      </c>
      <c r="AS3" s="270" t="s">
        <v>183</v>
      </c>
      <c r="AT3" s="272" t="s">
        <v>184</v>
      </c>
      <c r="AU3" s="258" t="s">
        <v>185</v>
      </c>
      <c r="AV3" s="275" t="s">
        <v>186</v>
      </c>
    </row>
    <row r="4" spans="1:48" ht="33.75" customHeight="1" x14ac:dyDescent="0.25">
      <c r="A4" s="204" t="str">
        <f>IF(ISBLANK(IMPORT!A4),"-",IMPORT!A4)</f>
        <v>ACBD</v>
      </c>
      <c r="B4" s="205" t="str">
        <f>IF(ISBLANK(IMPORT!B4),"-",IMPORT!B4)</f>
        <v>Turkey</v>
      </c>
      <c r="C4" s="204" t="str">
        <f>IF(ISBLANK(IMPORT!O4),"-",IMPORT!O4)</f>
        <v>API2024000000087</v>
      </c>
      <c r="D4" s="214" t="str">
        <f>IF(ISBLANK(IMPORT!S4),"-",IMPORT!S4)</f>
        <v>-</v>
      </c>
      <c r="E4" s="214" t="str">
        <f>IF(ISBLANK(IMPORT!T4),"-",IMPORT!T4)</f>
        <v>106041226000</v>
      </c>
      <c r="F4" s="208"/>
      <c r="G4" s="213" t="s">
        <v>187</v>
      </c>
      <c r="H4" s="276">
        <v>1516</v>
      </c>
      <c r="I4" s="277">
        <v>4.32</v>
      </c>
      <c r="J4" s="276">
        <v>1516</v>
      </c>
      <c r="K4" s="204" t="str">
        <f>IF(ISBLANK(IMPORT!L4),"-",IMPORT!L4)</f>
        <v>DAP - Bien Hoa City, Vietnam</v>
      </c>
      <c r="L4" s="213" t="str">
        <f>IMPORT!M4</f>
        <v>Air-freight</v>
      </c>
      <c r="M4" s="213" t="str">
        <f>IF(ISBLANK(IMPORT!AB4),"-",IMPORT!AB4)</f>
        <v>BEE</v>
      </c>
      <c r="N4" s="278" t="str">
        <f>IF(ISBLANK(IMPORT!D4),"-",IMPORT!D4)</f>
        <v>RUBBER EPDM E7020S</v>
      </c>
      <c r="O4" s="279" t="str">
        <f>IF(ISBLANK(IMPORT!C4),"-",IMPORT!C4)</f>
        <v>40059990</v>
      </c>
      <c r="P4" s="280">
        <v>0.05</v>
      </c>
      <c r="Q4" s="211">
        <v>6158067</v>
      </c>
      <c r="R4" s="281">
        <v>0.08</v>
      </c>
      <c r="S4" s="282">
        <v>10345553</v>
      </c>
      <c r="T4" s="283">
        <v>26339.59</v>
      </c>
      <c r="U4" s="210"/>
      <c r="V4" s="284"/>
      <c r="W4" s="285"/>
      <c r="X4" s="286"/>
      <c r="Y4" s="286"/>
      <c r="Z4" s="287"/>
      <c r="AA4" s="288"/>
      <c r="AB4" s="288"/>
      <c r="AC4" s="286"/>
      <c r="AD4" s="289"/>
      <c r="AE4" s="290"/>
      <c r="AF4" s="291"/>
      <c r="AG4" s="288"/>
      <c r="AH4" s="287"/>
      <c r="AI4" s="292">
        <f t="shared" ref="AI4:AI5" si="0">1400000/AP4</f>
        <v>57.412343653885586</v>
      </c>
      <c r="AJ4" s="287"/>
      <c r="AK4" s="293"/>
      <c r="AL4" s="284"/>
      <c r="AM4" s="284"/>
      <c r="AN4" s="284"/>
      <c r="AO4" s="294">
        <f t="shared" ref="AO4:AO5" si="1">SUM(W4:AD4,AF4,AG4:AN4)</f>
        <v>57.412343653885586</v>
      </c>
      <c r="AP4" s="211">
        <v>24385</v>
      </c>
      <c r="AQ4" s="295">
        <f t="shared" ref="AQ4:AQ5" si="2">SUM(AG4:AN4)*AP4*8%</f>
        <v>112000</v>
      </c>
      <c r="AR4" s="293">
        <v>7676014</v>
      </c>
      <c r="AS4" s="284">
        <v>20000</v>
      </c>
      <c r="AT4" s="284"/>
      <c r="AU4" s="296">
        <f t="shared" ref="AU4:AU5" si="3">SUM(V4,AO4*AP4,AQ4,AR4:AT4)</f>
        <v>9208014</v>
      </c>
      <c r="AV4" s="297">
        <f t="shared" ref="AV4:AV5" si="4">Q4+S4</f>
        <v>16503620</v>
      </c>
    </row>
    <row r="5" spans="1:48" ht="33.75" customHeight="1" x14ac:dyDescent="0.25">
      <c r="A5" s="80" t="str">
        <f>IF(ISBLANK(IMPORT!A5),"-",IMPORT!A5)</f>
        <v>DMAG</v>
      </c>
      <c r="B5" s="222" t="str">
        <f>IF(ISBLANK(IMPORT!B5),"-",IMPORT!B5)</f>
        <v>Italy</v>
      </c>
      <c r="C5" s="80" t="str">
        <f>IF(ISBLANK(IMPORT!O5),"-",IMPORT!O5)</f>
        <v>ITS2024000000003</v>
      </c>
      <c r="D5" s="79" t="str">
        <f>IF(ISBLANK(IMPORT!S5),"-",IMPORT!S5)</f>
        <v>-</v>
      </c>
      <c r="E5" s="79" t="str">
        <f>IF(ISBLANK(IMPORT!T5),"-",IMPORT!T5)</f>
        <v>106041226001</v>
      </c>
      <c r="F5" s="81"/>
      <c r="G5" s="86" t="s">
        <v>187</v>
      </c>
      <c r="H5" s="298">
        <v>1516</v>
      </c>
      <c r="I5" s="90">
        <v>4.32</v>
      </c>
      <c r="J5" s="298">
        <v>1516</v>
      </c>
      <c r="K5" s="80" t="str">
        <f>IF(ISBLANK(IMPORT!L5),"-",IMPORT!L5)</f>
        <v>DAP - Bien Hoa City, Vietnam</v>
      </c>
      <c r="L5" s="86" t="str">
        <f>IMPORT!M5</f>
        <v>Air-freight</v>
      </c>
      <c r="M5" s="86" t="str">
        <f>IF(ISBLANK(IMPORT!AB5),"-",IMPORT!AB5)</f>
        <v>BEE</v>
      </c>
      <c r="N5" s="299" t="str">
        <f>IF(ISBLANK(IMPORT!D5),"-",IMPORT!D5)</f>
        <v>RUBBER EPDM E6016S</v>
      </c>
      <c r="O5" s="300" t="str">
        <f>IF(ISBLANK(IMPORT!C5),"-",IMPORT!C5)</f>
        <v>40059990</v>
      </c>
      <c r="P5" s="301">
        <v>0.05</v>
      </c>
      <c r="Q5" s="224">
        <v>9463946</v>
      </c>
      <c r="R5" s="302">
        <v>0.08</v>
      </c>
      <c r="S5" s="303">
        <v>15899430</v>
      </c>
      <c r="T5" s="304">
        <v>26339.59</v>
      </c>
      <c r="U5" s="93">
        <v>4010</v>
      </c>
      <c r="V5" s="305">
        <f>U5*T5</f>
        <v>105621755.90000001</v>
      </c>
      <c r="W5" s="306"/>
      <c r="X5" s="307"/>
      <c r="Y5" s="307"/>
      <c r="Z5" s="308"/>
      <c r="AA5" s="309"/>
      <c r="AB5" s="309"/>
      <c r="AC5" s="307"/>
      <c r="AD5" s="310"/>
      <c r="AE5" s="311"/>
      <c r="AF5" s="312"/>
      <c r="AG5" s="309"/>
      <c r="AH5" s="308"/>
      <c r="AI5" s="308">
        <f t="shared" si="0"/>
        <v>57.400574005740054</v>
      </c>
      <c r="AJ5" s="308"/>
      <c r="AK5" s="313"/>
      <c r="AL5" s="305"/>
      <c r="AM5" s="305"/>
      <c r="AN5" s="305"/>
      <c r="AO5" s="314">
        <f t="shared" si="1"/>
        <v>57.400574005740054</v>
      </c>
      <c r="AP5" s="224">
        <v>24390</v>
      </c>
      <c r="AQ5" s="315">
        <f t="shared" si="2"/>
        <v>112000</v>
      </c>
      <c r="AR5" s="313">
        <f>4462366-AT5</f>
        <v>3003977.2</v>
      </c>
      <c r="AS5" s="305">
        <v>20000</v>
      </c>
      <c r="AT5" s="305">
        <f>1350360*1.08</f>
        <v>1458388.8</v>
      </c>
      <c r="AU5" s="316">
        <f t="shared" si="3"/>
        <v>111616121.90000001</v>
      </c>
      <c r="AV5" s="317">
        <f t="shared" si="4"/>
        <v>25363376</v>
      </c>
    </row>
    <row r="6" spans="1:48" ht="32.25" customHeight="1" x14ac:dyDescent="0.25">
      <c r="A6" s="46" t="str">
        <f>IF(ISBLANK(IMPORT!A6),"-",IMPORT!A6)</f>
        <v>-</v>
      </c>
      <c r="B6" s="47" t="str">
        <f>IF(ISBLANK(IMPORT!B6),"-",IMPORT!B6)</f>
        <v>-</v>
      </c>
      <c r="C6" s="46" t="str">
        <f>IF(ISBLANK(IMPORT!O6),"-",IMPORT!O6)</f>
        <v>-</v>
      </c>
      <c r="D6" s="45" t="str">
        <f>IF(ISBLANK(IMPORT!S6),"-",IMPORT!S6)</f>
        <v>-</v>
      </c>
      <c r="E6" s="47" t="str">
        <f>IF(ISBLANK(IMPORT!T6),"-",IMPORT!T6)</f>
        <v>-</v>
      </c>
      <c r="F6" s="47"/>
      <c r="G6" s="53" t="s">
        <v>187</v>
      </c>
      <c r="H6" s="148">
        <v>1516</v>
      </c>
      <c r="I6" s="56">
        <v>4.32</v>
      </c>
      <c r="J6" s="148">
        <v>1516</v>
      </c>
      <c r="K6" s="46" t="str">
        <f>IF(ISBLANK(IMPORT!L6),"-",IMPORT!L6)</f>
        <v>-</v>
      </c>
      <c r="L6" s="53">
        <f>IMPORT!M6</f>
        <v>0</v>
      </c>
      <c r="M6" s="47" t="str">
        <f>IF(ISBLANK(IMPORT!AB6),"-",IMPORT!AB6)</f>
        <v>-</v>
      </c>
      <c r="N6" s="186" t="str">
        <f>IF(ISBLANK(IMPORT!D6),"-",IMPORT!D6)</f>
        <v>-</v>
      </c>
      <c r="O6" s="318" t="str">
        <f>IF(ISBLANK(IMPORT!C6),"-",IMPORT!C6)</f>
        <v>-</v>
      </c>
      <c r="P6" s="319"/>
      <c r="Q6" s="157"/>
      <c r="R6" s="320"/>
      <c r="S6" s="321"/>
      <c r="T6" s="322"/>
      <c r="U6" s="50"/>
      <c r="V6" s="323"/>
      <c r="W6" s="324"/>
      <c r="X6" s="153"/>
      <c r="Y6" s="153"/>
      <c r="Z6" s="151"/>
      <c r="AA6" s="152"/>
      <c r="AB6" s="152"/>
      <c r="AC6" s="153"/>
      <c r="AD6" s="325"/>
      <c r="AE6" s="326"/>
      <c r="AF6" s="327"/>
      <c r="AG6" s="152"/>
      <c r="AH6" s="151"/>
      <c r="AI6" s="328"/>
      <c r="AJ6" s="151"/>
      <c r="AK6" s="153"/>
      <c r="AL6" s="153"/>
      <c r="AM6" s="153"/>
      <c r="AN6" s="323"/>
      <c r="AO6" s="329"/>
      <c r="AP6" s="157"/>
      <c r="AQ6" s="330"/>
      <c r="AR6" s="331"/>
      <c r="AS6" s="323"/>
      <c r="AT6" s="323"/>
      <c r="AU6" s="332"/>
      <c r="AV6" s="333"/>
    </row>
    <row r="7" spans="1:48" ht="32.25" customHeight="1" x14ac:dyDescent="0.25">
      <c r="A7" s="80" t="str">
        <f>IF(ISBLANK(IMPORT!A7),"-",IMPORT!A7)</f>
        <v>-</v>
      </c>
      <c r="B7" s="222" t="str">
        <f>IF(ISBLANK(IMPORT!B7),"-",IMPORT!B7)</f>
        <v>-</v>
      </c>
      <c r="C7" s="80" t="str">
        <f>IF(ISBLANK(IMPORT!O7),"-",IMPORT!O7)</f>
        <v>-</v>
      </c>
      <c r="D7" s="79" t="str">
        <f>IF(ISBLANK(IMPORT!S7),"-",IMPORT!S7)</f>
        <v>-</v>
      </c>
      <c r="E7" s="81" t="str">
        <f>IF(ISBLANK(IMPORT!T7),"-",IMPORT!T7)</f>
        <v>-</v>
      </c>
      <c r="F7" s="81"/>
      <c r="G7" s="86" t="s">
        <v>187</v>
      </c>
      <c r="H7" s="298">
        <v>1516</v>
      </c>
      <c r="I7" s="90">
        <v>4.32</v>
      </c>
      <c r="J7" s="298">
        <v>1516</v>
      </c>
      <c r="K7" s="80" t="str">
        <f>IF(ISBLANK(IMPORT!L7),"-",IMPORT!L7)</f>
        <v>-</v>
      </c>
      <c r="L7" s="86">
        <f>IMPORT!M7</f>
        <v>0</v>
      </c>
      <c r="M7" s="81" t="str">
        <f>IF(ISBLANK(IMPORT!AB7),"-",IMPORT!AB7)</f>
        <v>-</v>
      </c>
      <c r="N7" s="299" t="str">
        <f>IF(ISBLANK(IMPORT!D7),"-",IMPORT!D7)</f>
        <v>-</v>
      </c>
      <c r="O7" s="334" t="str">
        <f>IF(ISBLANK(IMPORT!C7),"-",IMPORT!C7)</f>
        <v>-</v>
      </c>
      <c r="P7" s="301"/>
      <c r="Q7" s="224"/>
      <c r="R7" s="302"/>
      <c r="S7" s="303"/>
      <c r="T7" s="304"/>
      <c r="U7" s="93"/>
      <c r="V7" s="305"/>
      <c r="W7" s="306"/>
      <c r="X7" s="307"/>
      <c r="Y7" s="307"/>
      <c r="Z7" s="308"/>
      <c r="AA7" s="309"/>
      <c r="AB7" s="309"/>
      <c r="AC7" s="307"/>
      <c r="AD7" s="310"/>
      <c r="AE7" s="311"/>
      <c r="AF7" s="312"/>
      <c r="AG7" s="309"/>
      <c r="AH7" s="308"/>
      <c r="AI7" s="308"/>
      <c r="AJ7" s="308"/>
      <c r="AK7" s="307"/>
      <c r="AL7" s="307"/>
      <c r="AM7" s="307"/>
      <c r="AN7" s="305"/>
      <c r="AO7" s="335">
        <f t="shared" ref="AO7:AO8" si="5">SUM(W7:AC7,AF7,AG7:AN7)</f>
        <v>0</v>
      </c>
      <c r="AP7" s="224"/>
      <c r="AQ7" s="315">
        <f t="shared" ref="AQ7:AQ8" si="6">SUM(AG7:AN7)*AP7*8%</f>
        <v>0</v>
      </c>
      <c r="AR7" s="313"/>
      <c r="AS7" s="305"/>
      <c r="AT7" s="305"/>
      <c r="AU7" s="316">
        <f t="shared" ref="AU7:AU8" si="7">SUM(V7,AO7*AP7,AQ7,AR7:AT7)</f>
        <v>0</v>
      </c>
      <c r="AV7" s="317">
        <f t="shared" ref="AV7:AV8" si="8">Q7+S7</f>
        <v>0</v>
      </c>
    </row>
    <row r="8" spans="1:48" ht="32.25" customHeight="1" x14ac:dyDescent="0.25">
      <c r="A8" s="80" t="str">
        <f>IF(ISBLANK(IMPORT!A8),"-",IMPORT!A8)</f>
        <v>-</v>
      </c>
      <c r="B8" s="222" t="str">
        <f>IF(ISBLANK(IMPORT!B8),"-",IMPORT!B8)</f>
        <v>-</v>
      </c>
      <c r="C8" s="80" t="str">
        <f>IF(ISBLANK(IMPORT!O8),"-",IMPORT!O8)</f>
        <v>-</v>
      </c>
      <c r="D8" s="79" t="str">
        <f>IF(ISBLANK(IMPORT!S8),"-",IMPORT!S8)</f>
        <v>-</v>
      </c>
      <c r="E8" s="81" t="str">
        <f>IF(ISBLANK(IMPORT!T8),"-",IMPORT!T8)</f>
        <v>-</v>
      </c>
      <c r="F8" s="81"/>
      <c r="G8" s="86" t="s">
        <v>187</v>
      </c>
      <c r="H8" s="298">
        <v>1516</v>
      </c>
      <c r="I8" s="90">
        <v>4.32</v>
      </c>
      <c r="J8" s="298">
        <v>1516</v>
      </c>
      <c r="K8" s="80" t="str">
        <f>IF(ISBLANK(IMPORT!L8),"-",IMPORT!L8)</f>
        <v>-</v>
      </c>
      <c r="L8" s="86">
        <f>IMPORT!M8</f>
        <v>0</v>
      </c>
      <c r="M8" s="81" t="str">
        <f>IF(ISBLANK(IMPORT!AB8),"-",IMPORT!AB8)</f>
        <v>-</v>
      </c>
      <c r="N8" s="299" t="str">
        <f>IF(ISBLANK(IMPORT!D8),"-",IMPORT!D8)</f>
        <v>-</v>
      </c>
      <c r="O8" s="334" t="str">
        <f>IF(ISBLANK(IMPORT!C8),"-",IMPORT!C8)</f>
        <v>-</v>
      </c>
      <c r="P8" s="301"/>
      <c r="Q8" s="224"/>
      <c r="R8" s="302"/>
      <c r="S8" s="303"/>
      <c r="T8" s="304"/>
      <c r="U8" s="93"/>
      <c r="V8" s="305"/>
      <c r="W8" s="306"/>
      <c r="X8" s="307"/>
      <c r="Y8" s="307"/>
      <c r="Z8" s="308"/>
      <c r="AA8" s="309"/>
      <c r="AB8" s="309"/>
      <c r="AC8" s="307"/>
      <c r="AD8" s="310"/>
      <c r="AE8" s="311"/>
      <c r="AF8" s="312"/>
      <c r="AG8" s="309"/>
      <c r="AH8" s="308"/>
      <c r="AI8" s="308"/>
      <c r="AJ8" s="308"/>
      <c r="AK8" s="307"/>
      <c r="AL8" s="307"/>
      <c r="AM8" s="307"/>
      <c r="AN8" s="305"/>
      <c r="AO8" s="335">
        <f t="shared" si="5"/>
        <v>0</v>
      </c>
      <c r="AP8" s="224"/>
      <c r="AQ8" s="315">
        <f t="shared" si="6"/>
        <v>0</v>
      </c>
      <c r="AR8" s="313"/>
      <c r="AS8" s="305"/>
      <c r="AT8" s="305"/>
      <c r="AU8" s="316">
        <f t="shared" si="7"/>
        <v>0</v>
      </c>
      <c r="AV8" s="317">
        <f t="shared" si="8"/>
        <v>0</v>
      </c>
    </row>
    <row r="9" spans="1:48" ht="12" customHeight="1" x14ac:dyDescent="0.25">
      <c r="A9" s="28"/>
      <c r="B9" s="95"/>
      <c r="C9" s="97"/>
      <c r="D9" s="97"/>
      <c r="E9" s="95"/>
      <c r="F9" s="95"/>
      <c r="G9" s="95"/>
      <c r="H9" s="28"/>
      <c r="I9" s="28"/>
      <c r="J9" s="28"/>
      <c r="K9" s="97"/>
      <c r="L9" s="98"/>
      <c r="M9" s="95"/>
      <c r="N9" s="98"/>
      <c r="O9" s="28"/>
      <c r="P9" s="95"/>
      <c r="Q9" s="28"/>
      <c r="R9" s="28"/>
      <c r="S9" s="28"/>
      <c r="T9" s="28"/>
      <c r="U9" s="97"/>
      <c r="V9" s="97"/>
      <c r="W9" s="97"/>
      <c r="X9" s="97"/>
      <c r="Y9" s="97"/>
      <c r="Z9" s="97"/>
      <c r="AA9" s="97"/>
      <c r="AB9" s="97"/>
      <c r="AC9" s="97"/>
      <c r="AD9" s="97"/>
      <c r="AE9" s="28"/>
      <c r="AF9" s="95"/>
      <c r="AG9" s="95"/>
      <c r="AH9" s="95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</row>
    <row r="10" spans="1:48" ht="21.75" customHeight="1" x14ac:dyDescent="0.25">
      <c r="A10" s="28"/>
      <c r="B10" s="95"/>
      <c r="C10" s="97"/>
      <c r="D10" s="97"/>
      <c r="E10" s="95"/>
      <c r="F10" s="95"/>
      <c r="G10" s="95"/>
      <c r="H10" s="28"/>
      <c r="I10" s="28"/>
      <c r="J10" s="28"/>
      <c r="K10" s="97"/>
      <c r="L10" s="98"/>
      <c r="M10" s="95"/>
      <c r="N10" s="98"/>
      <c r="O10" s="28"/>
      <c r="P10" s="95"/>
      <c r="Q10" s="28"/>
      <c r="R10" s="28"/>
      <c r="S10" s="28"/>
      <c r="T10" s="28"/>
      <c r="U10" s="97"/>
      <c r="V10" s="97"/>
      <c r="W10" s="336"/>
      <c r="X10" s="336"/>
      <c r="Y10" s="337">
        <f>SUBTOTAL(9,Y4:Y9)</f>
        <v>0</v>
      </c>
      <c r="Z10" s="337"/>
      <c r="AA10" s="336"/>
      <c r="AB10" s="336"/>
      <c r="AC10" s="336"/>
      <c r="AD10" s="336"/>
      <c r="AE10" s="338"/>
      <c r="AF10" s="339"/>
      <c r="AG10" s="339"/>
      <c r="AH10" s="339"/>
      <c r="AI10" s="337">
        <f>SUBTOTAL(9,AI4:AI9)</f>
        <v>114.81291765962564</v>
      </c>
      <c r="AJ10" s="338"/>
      <c r="AK10" s="338"/>
      <c r="AL10" s="338"/>
      <c r="AM10" s="338"/>
      <c r="AN10" s="338"/>
      <c r="AO10" s="338"/>
      <c r="AP10" s="28"/>
      <c r="AQ10" s="28"/>
      <c r="AR10" s="188"/>
      <c r="AS10" s="188"/>
      <c r="AT10" s="188"/>
      <c r="AU10" s="188">
        <f t="shared" ref="AU10:AV10" si="9">SUBTOTAL(9,AU4:AU9)</f>
        <v>120824135.90000001</v>
      </c>
      <c r="AV10" s="188">
        <f t="shared" si="9"/>
        <v>41866996</v>
      </c>
    </row>
    <row r="11" spans="1:48" ht="12" customHeight="1" x14ac:dyDescent="0.25">
      <c r="A11" s="28"/>
      <c r="B11" s="95"/>
      <c r="C11" s="97"/>
      <c r="D11" s="97"/>
      <c r="E11" s="95"/>
      <c r="F11" s="95"/>
      <c r="G11" s="95"/>
      <c r="H11" s="28"/>
      <c r="I11" s="28"/>
      <c r="J11" s="28"/>
      <c r="K11" s="97"/>
      <c r="L11" s="98"/>
      <c r="M11" s="95"/>
      <c r="N11" s="98"/>
      <c r="O11" s="28"/>
      <c r="P11" s="95"/>
      <c r="Q11" s="28"/>
      <c r="R11" s="28"/>
      <c r="S11" s="28"/>
      <c r="T11" s="28"/>
      <c r="U11" s="97"/>
      <c r="V11" s="97"/>
      <c r="W11" s="97"/>
      <c r="X11" s="97"/>
      <c r="Y11" s="97"/>
      <c r="Z11" s="97"/>
      <c r="AA11" s="97"/>
      <c r="AB11" s="97"/>
      <c r="AC11" s="97"/>
      <c r="AD11" s="97"/>
      <c r="AE11" s="28"/>
      <c r="AF11" s="95"/>
      <c r="AG11" s="95"/>
      <c r="AH11" s="95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</row>
    <row r="12" spans="1:48" ht="12" customHeight="1" x14ac:dyDescent="0.25">
      <c r="A12" s="28"/>
      <c r="B12" s="95"/>
      <c r="C12" s="97"/>
      <c r="D12" s="97"/>
      <c r="E12" s="95"/>
      <c r="F12" s="95"/>
      <c r="G12" s="95"/>
      <c r="H12" s="28"/>
      <c r="I12" s="28"/>
      <c r="J12" s="28"/>
      <c r="K12" s="97"/>
      <c r="L12" s="98"/>
      <c r="M12" s="95"/>
      <c r="N12" s="98"/>
      <c r="O12" s="28"/>
      <c r="P12" s="95"/>
      <c r="Q12" s="28"/>
      <c r="R12" s="28"/>
      <c r="S12" s="28"/>
      <c r="T12" s="28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28"/>
      <c r="AF12" s="95"/>
      <c r="AG12" s="95"/>
      <c r="AH12" s="95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</row>
    <row r="13" spans="1:48" ht="12" customHeight="1" x14ac:dyDescent="0.25">
      <c r="A13" s="28"/>
      <c r="B13" s="95"/>
      <c r="C13" s="97"/>
      <c r="D13" s="97"/>
      <c r="E13" s="95"/>
      <c r="F13" s="95"/>
      <c r="G13" s="95"/>
      <c r="H13" s="28"/>
      <c r="I13" s="28"/>
      <c r="J13" s="28"/>
      <c r="K13" s="97"/>
      <c r="L13" s="98"/>
      <c r="M13" s="95"/>
      <c r="N13" s="98"/>
      <c r="O13" s="28"/>
      <c r="P13" s="95"/>
      <c r="Q13" s="28"/>
      <c r="R13" s="28"/>
      <c r="S13" s="28"/>
      <c r="T13" s="28"/>
      <c r="U13" s="97"/>
      <c r="V13" s="97"/>
      <c r="W13" s="97"/>
      <c r="X13" s="97"/>
      <c r="Y13" s="97"/>
      <c r="Z13" s="97"/>
      <c r="AA13" s="97"/>
      <c r="AB13" s="97"/>
      <c r="AC13" s="97"/>
      <c r="AD13" s="97"/>
      <c r="AE13" s="28"/>
      <c r="AF13" s="95"/>
      <c r="AG13" s="95"/>
      <c r="AH13" s="95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</row>
    <row r="14" spans="1:48" ht="12" customHeight="1" x14ac:dyDescent="0.25">
      <c r="A14" s="28"/>
      <c r="B14" s="95"/>
      <c r="C14" s="97"/>
      <c r="D14" s="97"/>
      <c r="E14" s="95"/>
      <c r="F14" s="95"/>
      <c r="G14" s="95"/>
      <c r="H14" s="28"/>
      <c r="I14" s="28"/>
      <c r="J14" s="28"/>
      <c r="K14" s="97"/>
      <c r="L14" s="98"/>
      <c r="M14" s="95"/>
      <c r="N14" s="98"/>
      <c r="O14" s="28"/>
      <c r="P14" s="95"/>
      <c r="Q14" s="28"/>
      <c r="R14" s="28"/>
      <c r="S14" s="28"/>
      <c r="T14" s="28"/>
      <c r="U14" s="97"/>
      <c r="V14" s="97"/>
      <c r="W14" s="97"/>
      <c r="X14" s="97"/>
      <c r="Y14" s="97"/>
      <c r="Z14" s="97"/>
      <c r="AA14" s="97"/>
      <c r="AB14" s="97"/>
      <c r="AC14" s="97"/>
      <c r="AD14" s="97"/>
      <c r="AE14" s="28"/>
      <c r="AF14" s="95"/>
      <c r="AG14" s="95"/>
      <c r="AH14" s="95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</row>
    <row r="15" spans="1:48" ht="12" customHeight="1" x14ac:dyDescent="0.25">
      <c r="A15" s="28"/>
      <c r="B15" s="95"/>
      <c r="C15" s="97"/>
      <c r="D15" s="97"/>
      <c r="E15" s="95"/>
      <c r="F15" s="95"/>
      <c r="G15" s="95"/>
      <c r="H15" s="28"/>
      <c r="I15" s="28"/>
      <c r="J15" s="28"/>
      <c r="K15" s="97"/>
      <c r="L15" s="98"/>
      <c r="M15" s="95"/>
      <c r="N15" s="98"/>
      <c r="O15" s="28"/>
      <c r="P15" s="95"/>
      <c r="Q15" s="28"/>
      <c r="R15" s="28"/>
      <c r="S15" s="28"/>
      <c r="T15" s="28"/>
      <c r="U15" s="97"/>
      <c r="V15" s="97"/>
      <c r="W15" s="97"/>
      <c r="X15" s="97"/>
      <c r="Y15" s="97"/>
      <c r="Z15" s="97"/>
      <c r="AA15" s="97"/>
      <c r="AB15" s="97"/>
      <c r="AC15" s="97"/>
      <c r="AD15" s="97"/>
      <c r="AE15" s="28"/>
      <c r="AF15" s="95"/>
      <c r="AG15" s="95"/>
      <c r="AH15" s="95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</row>
    <row r="16" spans="1:48" ht="12" customHeight="1" x14ac:dyDescent="0.25">
      <c r="A16" s="28"/>
      <c r="B16" s="95"/>
      <c r="C16" s="97"/>
      <c r="D16" s="97"/>
      <c r="E16" s="95"/>
      <c r="F16" s="95"/>
      <c r="G16" s="95"/>
      <c r="H16" s="28"/>
      <c r="I16" s="28"/>
      <c r="J16" s="28"/>
      <c r="K16" s="97"/>
      <c r="L16" s="98"/>
      <c r="M16" s="95"/>
      <c r="N16" s="98"/>
      <c r="O16" s="28"/>
      <c r="P16" s="95"/>
      <c r="Q16" s="28"/>
      <c r="R16" s="28"/>
      <c r="S16" s="28"/>
      <c r="T16" s="28"/>
      <c r="U16" s="97"/>
      <c r="V16" s="97"/>
      <c r="W16" s="97"/>
      <c r="X16" s="97"/>
      <c r="Y16" s="97"/>
      <c r="Z16" s="97"/>
      <c r="AA16" s="97"/>
      <c r="AB16" s="97"/>
      <c r="AC16" s="97"/>
      <c r="AD16" s="97"/>
      <c r="AE16" s="28"/>
      <c r="AF16" s="95"/>
      <c r="AG16" s="95"/>
      <c r="AH16" s="95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</row>
    <row r="17" spans="1:48" ht="12" customHeight="1" x14ac:dyDescent="0.25">
      <c r="A17" s="28"/>
      <c r="B17" s="95"/>
      <c r="C17" s="97"/>
      <c r="D17" s="97"/>
      <c r="E17" s="95"/>
      <c r="F17" s="95"/>
      <c r="G17" s="95"/>
      <c r="H17" s="28"/>
      <c r="I17" s="28"/>
      <c r="J17" s="28"/>
      <c r="K17" s="97"/>
      <c r="L17" s="98"/>
      <c r="M17" s="95"/>
      <c r="N17" s="98"/>
      <c r="O17" s="28"/>
      <c r="P17" s="95"/>
      <c r="Q17" s="28"/>
      <c r="R17" s="28"/>
      <c r="S17" s="28"/>
      <c r="T17" s="28"/>
      <c r="U17" s="97"/>
      <c r="V17" s="97"/>
      <c r="W17" s="97"/>
      <c r="X17" s="97"/>
      <c r="Y17" s="97"/>
      <c r="Z17" s="97"/>
      <c r="AA17" s="97"/>
      <c r="AB17" s="97"/>
      <c r="AC17" s="97"/>
      <c r="AD17" s="97"/>
      <c r="AE17" s="28"/>
      <c r="AF17" s="95"/>
      <c r="AG17" s="95"/>
      <c r="AH17" s="95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</row>
    <row r="18" spans="1:48" ht="12" customHeight="1" x14ac:dyDescent="0.25">
      <c r="A18" s="28"/>
      <c r="B18" s="95"/>
      <c r="C18" s="97"/>
      <c r="D18" s="97"/>
      <c r="E18" s="95"/>
      <c r="F18" s="95"/>
      <c r="G18" s="95"/>
      <c r="H18" s="28"/>
      <c r="I18" s="28"/>
      <c r="J18" s="28"/>
      <c r="K18" s="97"/>
      <c r="L18" s="98"/>
      <c r="M18" s="95"/>
      <c r="N18" s="98"/>
      <c r="O18" s="28"/>
      <c r="P18" s="95"/>
      <c r="Q18" s="28"/>
      <c r="R18" s="28"/>
      <c r="S18" s="28"/>
      <c r="T18" s="28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28"/>
      <c r="AF18" s="95"/>
      <c r="AG18" s="95"/>
      <c r="AH18" s="95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</row>
    <row r="19" spans="1:48" ht="12" customHeight="1" x14ac:dyDescent="0.25">
      <c r="A19" s="28"/>
      <c r="B19" s="95"/>
      <c r="C19" s="97"/>
      <c r="D19" s="97"/>
      <c r="E19" s="95"/>
      <c r="F19" s="95"/>
      <c r="G19" s="95"/>
      <c r="H19" s="28"/>
      <c r="I19" s="28"/>
      <c r="J19" s="28"/>
      <c r="K19" s="97"/>
      <c r="L19" s="98"/>
      <c r="M19" s="95"/>
      <c r="N19" s="98"/>
      <c r="O19" s="28"/>
      <c r="P19" s="95"/>
      <c r="Q19" s="28"/>
      <c r="R19" s="28"/>
      <c r="S19" s="28"/>
      <c r="T19" s="28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28"/>
      <c r="AF19" s="95"/>
      <c r="AG19" s="95"/>
      <c r="AH19" s="95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</row>
    <row r="20" spans="1:48" ht="12" customHeight="1" x14ac:dyDescent="0.25">
      <c r="A20" s="28"/>
      <c r="B20" s="95"/>
      <c r="C20" s="97"/>
      <c r="D20" s="97"/>
      <c r="E20" s="95"/>
      <c r="F20" s="95"/>
      <c r="G20" s="95"/>
      <c r="H20" s="28"/>
      <c r="I20" s="28"/>
      <c r="J20" s="28"/>
      <c r="K20" s="97"/>
      <c r="L20" s="98"/>
      <c r="M20" s="95"/>
      <c r="N20" s="98"/>
      <c r="O20" s="28"/>
      <c r="P20" s="95"/>
      <c r="Q20" s="28"/>
      <c r="R20" s="28"/>
      <c r="S20" s="28"/>
      <c r="T20" s="28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28"/>
      <c r="AF20" s="95"/>
      <c r="AG20" s="95"/>
      <c r="AH20" s="95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</row>
    <row r="21" spans="1:48" ht="12" customHeight="1" x14ac:dyDescent="0.25">
      <c r="A21" s="28"/>
      <c r="B21" s="95"/>
      <c r="C21" s="97"/>
      <c r="D21" s="97"/>
      <c r="E21" s="95"/>
      <c r="F21" s="95"/>
      <c r="G21" s="95"/>
      <c r="H21" s="28"/>
      <c r="I21" s="28"/>
      <c r="J21" s="28"/>
      <c r="K21" s="97"/>
      <c r="L21" s="98"/>
      <c r="M21" s="95"/>
      <c r="N21" s="98"/>
      <c r="O21" s="28"/>
      <c r="P21" s="95"/>
      <c r="Q21" s="28"/>
      <c r="R21" s="28"/>
      <c r="S21" s="28"/>
      <c r="T21" s="28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28"/>
      <c r="AF21" s="95"/>
      <c r="AG21" s="95"/>
      <c r="AH21" s="95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</row>
    <row r="22" spans="1:48" ht="12" customHeight="1" x14ac:dyDescent="0.25">
      <c r="A22" s="28"/>
      <c r="B22" s="95"/>
      <c r="C22" s="97"/>
      <c r="D22" s="97"/>
      <c r="E22" s="95"/>
      <c r="F22" s="95"/>
      <c r="G22" s="95"/>
      <c r="H22" s="28"/>
      <c r="I22" s="28"/>
      <c r="J22" s="28"/>
      <c r="K22" s="97"/>
      <c r="L22" s="98"/>
      <c r="M22" s="95"/>
      <c r="N22" s="98"/>
      <c r="O22" s="28"/>
      <c r="P22" s="95"/>
      <c r="Q22" s="28"/>
      <c r="R22" s="28"/>
      <c r="S22" s="28"/>
      <c r="T22" s="28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28"/>
      <c r="AF22" s="95"/>
      <c r="AG22" s="95"/>
      <c r="AH22" s="95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</row>
    <row r="23" spans="1:48" ht="12" customHeight="1" x14ac:dyDescent="0.25">
      <c r="A23" s="28"/>
      <c r="B23" s="95"/>
      <c r="C23" s="97"/>
      <c r="D23" s="97"/>
      <c r="E23" s="95"/>
      <c r="F23" s="95"/>
      <c r="G23" s="95"/>
      <c r="H23" s="28"/>
      <c r="I23" s="28"/>
      <c r="J23" s="28"/>
      <c r="K23" s="97"/>
      <c r="L23" s="98"/>
      <c r="M23" s="95"/>
      <c r="N23" s="98"/>
      <c r="O23" s="28"/>
      <c r="P23" s="95"/>
      <c r="Q23" s="28"/>
      <c r="R23" s="28"/>
      <c r="S23" s="28"/>
      <c r="T23" s="28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28"/>
      <c r="AF23" s="95"/>
      <c r="AG23" s="95"/>
      <c r="AH23" s="95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  <c r="AV23" s="28"/>
    </row>
    <row r="24" spans="1:48" ht="12" customHeight="1" x14ac:dyDescent="0.25">
      <c r="A24" s="28"/>
      <c r="B24" s="95"/>
      <c r="C24" s="97"/>
      <c r="D24" s="97"/>
      <c r="E24" s="95"/>
      <c r="F24" s="95"/>
      <c r="G24" s="95"/>
      <c r="H24" s="28"/>
      <c r="I24" s="28"/>
      <c r="J24" s="28"/>
      <c r="K24" s="97"/>
      <c r="L24" s="98"/>
      <c r="M24" s="95"/>
      <c r="N24" s="98"/>
      <c r="O24" s="28"/>
      <c r="P24" s="95"/>
      <c r="Q24" s="28"/>
      <c r="R24" s="28"/>
      <c r="S24" s="28"/>
      <c r="T24" s="28"/>
      <c r="U24" s="97"/>
      <c r="V24" s="97"/>
      <c r="W24" s="97"/>
      <c r="X24" s="97"/>
      <c r="Y24" s="97"/>
      <c r="Z24" s="97"/>
      <c r="AA24" s="97"/>
      <c r="AB24" s="97"/>
      <c r="AC24" s="97"/>
      <c r="AD24" s="97"/>
      <c r="AE24" s="28"/>
      <c r="AF24" s="95"/>
      <c r="AG24" s="95"/>
      <c r="AH24" s="95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  <c r="AV24" s="28"/>
    </row>
    <row r="25" spans="1:48" ht="12" customHeight="1" x14ac:dyDescent="0.25">
      <c r="A25" s="28"/>
      <c r="B25" s="95"/>
      <c r="C25" s="97"/>
      <c r="D25" s="97"/>
      <c r="E25" s="95"/>
      <c r="F25" s="95"/>
      <c r="G25" s="95"/>
      <c r="H25" s="28"/>
      <c r="I25" s="28"/>
      <c r="J25" s="28"/>
      <c r="K25" s="97"/>
      <c r="L25" s="98"/>
      <c r="M25" s="95"/>
      <c r="N25" s="98"/>
      <c r="O25" s="28"/>
      <c r="P25" s="95"/>
      <c r="Q25" s="28"/>
      <c r="R25" s="28"/>
      <c r="S25" s="28"/>
      <c r="T25" s="28"/>
      <c r="U25" s="97"/>
      <c r="V25" s="97"/>
      <c r="W25" s="97"/>
      <c r="X25" s="97"/>
      <c r="Y25" s="97"/>
      <c r="Z25" s="97"/>
      <c r="AA25" s="97"/>
      <c r="AB25" s="97"/>
      <c r="AC25" s="97"/>
      <c r="AD25" s="97"/>
      <c r="AE25" s="28"/>
      <c r="AF25" s="95"/>
      <c r="AG25" s="95"/>
      <c r="AH25" s="95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  <c r="AV25" s="28"/>
    </row>
    <row r="26" spans="1:48" ht="12" customHeight="1" x14ac:dyDescent="0.25">
      <c r="A26" s="28"/>
      <c r="B26" s="95"/>
      <c r="C26" s="97"/>
      <c r="D26" s="97"/>
      <c r="E26" s="95"/>
      <c r="F26" s="95"/>
      <c r="G26" s="95"/>
      <c r="H26" s="28"/>
      <c r="I26" s="28"/>
      <c r="J26" s="28"/>
      <c r="K26" s="97"/>
      <c r="L26" s="98"/>
      <c r="M26" s="95"/>
      <c r="N26" s="98"/>
      <c r="O26" s="28"/>
      <c r="P26" s="95"/>
      <c r="Q26" s="28"/>
      <c r="R26" s="28"/>
      <c r="S26" s="28"/>
      <c r="T26" s="28"/>
      <c r="U26" s="97"/>
      <c r="V26" s="97"/>
      <c r="W26" s="97"/>
      <c r="X26" s="97"/>
      <c r="Y26" s="97"/>
      <c r="Z26" s="97"/>
      <c r="AA26" s="97"/>
      <c r="AB26" s="97"/>
      <c r="AC26" s="97"/>
      <c r="AD26" s="97"/>
      <c r="AE26" s="28"/>
      <c r="AF26" s="95"/>
      <c r="AG26" s="95"/>
      <c r="AH26" s="95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  <c r="AV26" s="28"/>
    </row>
    <row r="27" spans="1:48" ht="12" customHeight="1" x14ac:dyDescent="0.25">
      <c r="A27" s="28"/>
      <c r="B27" s="95"/>
      <c r="C27" s="97"/>
      <c r="D27" s="97"/>
      <c r="E27" s="95"/>
      <c r="F27" s="95"/>
      <c r="G27" s="95"/>
      <c r="H27" s="28"/>
      <c r="I27" s="28"/>
      <c r="J27" s="28"/>
      <c r="K27" s="97"/>
      <c r="L27" s="98"/>
      <c r="M27" s="95"/>
      <c r="N27" s="98"/>
      <c r="O27" s="28"/>
      <c r="P27" s="95"/>
      <c r="Q27" s="28"/>
      <c r="R27" s="28"/>
      <c r="S27" s="28"/>
      <c r="T27" s="28"/>
      <c r="U27" s="97"/>
      <c r="V27" s="97"/>
      <c r="W27" s="97"/>
      <c r="X27" s="97"/>
      <c r="Y27" s="97"/>
      <c r="Z27" s="97"/>
      <c r="AA27" s="97"/>
      <c r="AB27" s="97"/>
      <c r="AC27" s="97"/>
      <c r="AD27" s="97"/>
      <c r="AE27" s="28"/>
      <c r="AF27" s="95"/>
      <c r="AG27" s="95"/>
      <c r="AH27" s="95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  <c r="AV27" s="28"/>
    </row>
    <row r="28" spans="1:48" ht="12" customHeight="1" x14ac:dyDescent="0.25">
      <c r="A28" s="28"/>
      <c r="B28" s="95"/>
      <c r="C28" s="97"/>
      <c r="D28" s="97"/>
      <c r="E28" s="95"/>
      <c r="F28" s="95"/>
      <c r="G28" s="95"/>
      <c r="H28" s="28"/>
      <c r="I28" s="28"/>
      <c r="J28" s="28"/>
      <c r="K28" s="97"/>
      <c r="L28" s="98"/>
      <c r="M28" s="95"/>
      <c r="N28" s="98"/>
      <c r="O28" s="28"/>
      <c r="P28" s="95"/>
      <c r="Q28" s="28"/>
      <c r="R28" s="28"/>
      <c r="S28" s="28"/>
      <c r="T28" s="28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28"/>
      <c r="AF28" s="95"/>
      <c r="AG28" s="95"/>
      <c r="AH28" s="95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  <c r="AV28" s="28"/>
    </row>
    <row r="29" spans="1:48" ht="12" customHeight="1" x14ac:dyDescent="0.25">
      <c r="A29" s="28"/>
      <c r="B29" s="95"/>
      <c r="C29" s="97"/>
      <c r="D29" s="97"/>
      <c r="E29" s="95"/>
      <c r="F29" s="95"/>
      <c r="G29" s="95"/>
      <c r="H29" s="28"/>
      <c r="I29" s="28"/>
      <c r="J29" s="28"/>
      <c r="K29" s="97"/>
      <c r="L29" s="98"/>
      <c r="M29" s="95"/>
      <c r="N29" s="98"/>
      <c r="O29" s="28"/>
      <c r="P29" s="95"/>
      <c r="Q29" s="28"/>
      <c r="R29" s="28"/>
      <c r="S29" s="28"/>
      <c r="T29" s="28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28"/>
      <c r="AF29" s="95"/>
      <c r="AG29" s="95"/>
      <c r="AH29" s="95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  <c r="AV29" s="28"/>
    </row>
    <row r="30" spans="1:48" ht="12" customHeight="1" x14ac:dyDescent="0.25">
      <c r="A30" s="28"/>
      <c r="B30" s="95"/>
      <c r="C30" s="97"/>
      <c r="D30" s="97"/>
      <c r="E30" s="95"/>
      <c r="F30" s="95"/>
      <c r="G30" s="95"/>
      <c r="H30" s="28"/>
      <c r="I30" s="28"/>
      <c r="J30" s="28"/>
      <c r="K30" s="97"/>
      <c r="L30" s="98"/>
      <c r="M30" s="95"/>
      <c r="N30" s="98"/>
      <c r="O30" s="28"/>
      <c r="P30" s="95"/>
      <c r="Q30" s="28"/>
      <c r="R30" s="28"/>
      <c r="S30" s="28"/>
      <c r="T30" s="28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28"/>
      <c r="AF30" s="95"/>
      <c r="AG30" s="95"/>
      <c r="AH30" s="95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  <c r="AV30" s="28"/>
    </row>
    <row r="31" spans="1:48" ht="12" customHeight="1" x14ac:dyDescent="0.25">
      <c r="A31" s="28"/>
      <c r="B31" s="95"/>
      <c r="C31" s="97"/>
      <c r="D31" s="97"/>
      <c r="E31" s="95"/>
      <c r="F31" s="95"/>
      <c r="G31" s="95"/>
      <c r="H31" s="28"/>
      <c r="I31" s="28"/>
      <c r="J31" s="28"/>
      <c r="K31" s="97"/>
      <c r="L31" s="98"/>
      <c r="M31" s="95"/>
      <c r="N31" s="98"/>
      <c r="O31" s="28"/>
      <c r="P31" s="95"/>
      <c r="Q31" s="28"/>
      <c r="R31" s="28"/>
      <c r="S31" s="28"/>
      <c r="T31" s="28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28"/>
      <c r="AF31" s="95"/>
      <c r="AG31" s="95"/>
      <c r="AH31" s="95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  <c r="AV31" s="28"/>
    </row>
    <row r="32" spans="1:48" ht="12" customHeight="1" x14ac:dyDescent="0.25">
      <c r="A32" s="28"/>
      <c r="B32" s="95"/>
      <c r="C32" s="97"/>
      <c r="D32" s="97"/>
      <c r="E32" s="95"/>
      <c r="F32" s="95"/>
      <c r="G32" s="95"/>
      <c r="H32" s="28"/>
      <c r="I32" s="28"/>
      <c r="J32" s="28"/>
      <c r="K32" s="97"/>
      <c r="L32" s="98"/>
      <c r="M32" s="95"/>
      <c r="N32" s="98"/>
      <c r="O32" s="28"/>
      <c r="P32" s="95"/>
      <c r="Q32" s="28"/>
      <c r="R32" s="28"/>
      <c r="S32" s="28"/>
      <c r="T32" s="28"/>
      <c r="U32" s="97"/>
      <c r="V32" s="97"/>
      <c r="W32" s="97"/>
      <c r="X32" s="97"/>
      <c r="Y32" s="97"/>
      <c r="Z32" s="97"/>
      <c r="AA32" s="97"/>
      <c r="AB32" s="97"/>
      <c r="AC32" s="97"/>
      <c r="AD32" s="97"/>
      <c r="AE32" s="28"/>
      <c r="AF32" s="95"/>
      <c r="AG32" s="95"/>
      <c r="AH32" s="95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  <c r="AV32" s="28"/>
    </row>
    <row r="33" spans="1:48" ht="12" customHeight="1" x14ac:dyDescent="0.25">
      <c r="A33" s="28"/>
      <c r="B33" s="95"/>
      <c r="C33" s="97"/>
      <c r="D33" s="97"/>
      <c r="E33" s="95"/>
      <c r="F33" s="95"/>
      <c r="G33" s="95"/>
      <c r="H33" s="28"/>
      <c r="I33" s="28"/>
      <c r="J33" s="28"/>
      <c r="K33" s="97"/>
      <c r="L33" s="98"/>
      <c r="M33" s="95"/>
      <c r="N33" s="98"/>
      <c r="O33" s="28"/>
      <c r="P33" s="95"/>
      <c r="Q33" s="28"/>
      <c r="R33" s="28"/>
      <c r="S33" s="28"/>
      <c r="T33" s="28"/>
      <c r="U33" s="97"/>
      <c r="V33" s="97"/>
      <c r="W33" s="97"/>
      <c r="X33" s="97"/>
      <c r="Y33" s="97"/>
      <c r="Z33" s="97"/>
      <c r="AA33" s="97"/>
      <c r="AB33" s="97"/>
      <c r="AC33" s="97"/>
      <c r="AD33" s="97"/>
      <c r="AE33" s="28"/>
      <c r="AF33" s="95"/>
      <c r="AG33" s="95"/>
      <c r="AH33" s="95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  <c r="AV33" s="28"/>
    </row>
    <row r="34" spans="1:48" ht="12" customHeight="1" x14ac:dyDescent="0.25">
      <c r="A34" s="28"/>
      <c r="B34" s="95"/>
      <c r="C34" s="97"/>
      <c r="D34" s="97"/>
      <c r="E34" s="95"/>
      <c r="F34" s="95"/>
      <c r="G34" s="95"/>
      <c r="H34" s="28"/>
      <c r="I34" s="28"/>
      <c r="J34" s="28"/>
      <c r="K34" s="97"/>
      <c r="L34" s="98"/>
      <c r="M34" s="95"/>
      <c r="N34" s="98"/>
      <c r="O34" s="28"/>
      <c r="P34" s="95"/>
      <c r="Q34" s="28"/>
      <c r="R34" s="28"/>
      <c r="S34" s="28"/>
      <c r="T34" s="28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28"/>
      <c r="AF34" s="95"/>
      <c r="AG34" s="95"/>
      <c r="AH34" s="95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  <c r="AV34" s="28"/>
    </row>
    <row r="35" spans="1:48" ht="12" customHeight="1" x14ac:dyDescent="0.25">
      <c r="A35" s="28"/>
      <c r="B35" s="95"/>
      <c r="C35" s="97"/>
      <c r="D35" s="97"/>
      <c r="E35" s="95"/>
      <c r="F35" s="95"/>
      <c r="G35" s="95"/>
      <c r="H35" s="28"/>
      <c r="I35" s="28"/>
      <c r="J35" s="28"/>
      <c r="K35" s="97"/>
      <c r="L35" s="98"/>
      <c r="M35" s="95"/>
      <c r="N35" s="98"/>
      <c r="O35" s="28"/>
      <c r="P35" s="95"/>
      <c r="Q35" s="28"/>
      <c r="R35" s="28"/>
      <c r="S35" s="28"/>
      <c r="T35" s="28"/>
      <c r="U35" s="97"/>
      <c r="V35" s="97"/>
      <c r="W35" s="97"/>
      <c r="X35" s="97"/>
      <c r="Y35" s="97"/>
      <c r="Z35" s="97"/>
      <c r="AA35" s="97"/>
      <c r="AB35" s="97"/>
      <c r="AC35" s="97"/>
      <c r="AD35" s="97"/>
      <c r="AE35" s="28"/>
      <c r="AF35" s="95"/>
      <c r="AG35" s="95"/>
      <c r="AH35" s="95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</row>
    <row r="36" spans="1:48" ht="12" customHeight="1" x14ac:dyDescent="0.25">
      <c r="A36" s="28"/>
      <c r="B36" s="95"/>
      <c r="C36" s="97"/>
      <c r="D36" s="97"/>
      <c r="E36" s="95"/>
      <c r="F36" s="95"/>
      <c r="G36" s="95"/>
      <c r="H36" s="28"/>
      <c r="I36" s="28"/>
      <c r="J36" s="28"/>
      <c r="K36" s="97"/>
      <c r="L36" s="98"/>
      <c r="M36" s="95"/>
      <c r="N36" s="98"/>
      <c r="O36" s="28"/>
      <c r="P36" s="95"/>
      <c r="Q36" s="28"/>
      <c r="R36" s="28"/>
      <c r="S36" s="28"/>
      <c r="T36" s="28"/>
      <c r="U36" s="97"/>
      <c r="V36" s="97"/>
      <c r="W36" s="97"/>
      <c r="X36" s="97"/>
      <c r="Y36" s="97"/>
      <c r="Z36" s="97"/>
      <c r="AA36" s="97"/>
      <c r="AB36" s="97"/>
      <c r="AC36" s="97"/>
      <c r="AD36" s="97"/>
      <c r="AE36" s="28"/>
      <c r="AF36" s="95"/>
      <c r="AG36" s="95"/>
      <c r="AH36" s="95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</row>
    <row r="37" spans="1:48" ht="12" customHeight="1" x14ac:dyDescent="0.25">
      <c r="A37" s="28"/>
      <c r="B37" s="95"/>
      <c r="C37" s="97"/>
      <c r="D37" s="97"/>
      <c r="E37" s="95"/>
      <c r="F37" s="95"/>
      <c r="G37" s="95"/>
      <c r="H37" s="28"/>
      <c r="I37" s="28"/>
      <c r="J37" s="28"/>
      <c r="K37" s="97"/>
      <c r="L37" s="98"/>
      <c r="M37" s="95"/>
      <c r="N37" s="98"/>
      <c r="O37" s="28"/>
      <c r="P37" s="95"/>
      <c r="Q37" s="28"/>
      <c r="R37" s="28"/>
      <c r="S37" s="28"/>
      <c r="T37" s="28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28"/>
      <c r="AF37" s="95"/>
      <c r="AG37" s="95"/>
      <c r="AH37" s="95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</row>
    <row r="38" spans="1:48" ht="12" customHeight="1" x14ac:dyDescent="0.25">
      <c r="A38" s="28"/>
      <c r="B38" s="95"/>
      <c r="C38" s="97"/>
      <c r="D38" s="97"/>
      <c r="E38" s="95"/>
      <c r="F38" s="95"/>
      <c r="G38" s="95"/>
      <c r="H38" s="28"/>
      <c r="I38" s="28"/>
      <c r="J38" s="28"/>
      <c r="K38" s="97"/>
      <c r="L38" s="98"/>
      <c r="M38" s="95"/>
      <c r="N38" s="98"/>
      <c r="O38" s="28"/>
      <c r="P38" s="95"/>
      <c r="Q38" s="28"/>
      <c r="R38" s="28"/>
      <c r="S38" s="28"/>
      <c r="T38" s="28"/>
      <c r="U38" s="97"/>
      <c r="V38" s="97"/>
      <c r="W38" s="97"/>
      <c r="X38" s="97"/>
      <c r="Y38" s="97"/>
      <c r="Z38" s="97"/>
      <c r="AA38" s="97"/>
      <c r="AB38" s="97"/>
      <c r="AC38" s="97"/>
      <c r="AD38" s="97"/>
      <c r="AE38" s="28"/>
      <c r="AF38" s="95"/>
      <c r="AG38" s="95"/>
      <c r="AH38" s="95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  <c r="AV38" s="28"/>
    </row>
    <row r="39" spans="1:48" ht="12" customHeight="1" x14ac:dyDescent="0.25">
      <c r="A39" s="28"/>
      <c r="B39" s="95"/>
      <c r="C39" s="97"/>
      <c r="D39" s="97"/>
      <c r="E39" s="95"/>
      <c r="F39" s="95"/>
      <c r="G39" s="95"/>
      <c r="H39" s="28"/>
      <c r="I39" s="28"/>
      <c r="J39" s="28"/>
      <c r="K39" s="97"/>
      <c r="L39" s="98"/>
      <c r="M39" s="95"/>
      <c r="N39" s="98"/>
      <c r="O39" s="28"/>
      <c r="P39" s="95"/>
      <c r="Q39" s="28"/>
      <c r="R39" s="28"/>
      <c r="S39" s="28"/>
      <c r="T39" s="28"/>
      <c r="U39" s="97"/>
      <c r="V39" s="97"/>
      <c r="W39" s="97"/>
      <c r="X39" s="97"/>
      <c r="Y39" s="97"/>
      <c r="Z39" s="97"/>
      <c r="AA39" s="97"/>
      <c r="AB39" s="97"/>
      <c r="AC39" s="97"/>
      <c r="AD39" s="97"/>
      <c r="AE39" s="28"/>
      <c r="AF39" s="95"/>
      <c r="AG39" s="95"/>
      <c r="AH39" s="95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</row>
    <row r="40" spans="1:48" ht="12" customHeight="1" x14ac:dyDescent="0.25">
      <c r="A40" s="28"/>
      <c r="B40" s="95"/>
      <c r="C40" s="97"/>
      <c r="D40" s="97"/>
      <c r="E40" s="95"/>
      <c r="F40" s="95"/>
      <c r="G40" s="95"/>
      <c r="H40" s="28"/>
      <c r="I40" s="28"/>
      <c r="J40" s="28"/>
      <c r="K40" s="97"/>
      <c r="L40" s="98"/>
      <c r="M40" s="95"/>
      <c r="N40" s="98"/>
      <c r="O40" s="28"/>
      <c r="P40" s="95"/>
      <c r="Q40" s="28"/>
      <c r="R40" s="28"/>
      <c r="S40" s="28"/>
      <c r="T40" s="28"/>
      <c r="U40" s="97"/>
      <c r="V40" s="97"/>
      <c r="W40" s="97"/>
      <c r="X40" s="97"/>
      <c r="Y40" s="97"/>
      <c r="Z40" s="97"/>
      <c r="AA40" s="97"/>
      <c r="AB40" s="97"/>
      <c r="AC40" s="97"/>
      <c r="AD40" s="97"/>
      <c r="AE40" s="28"/>
      <c r="AF40" s="95"/>
      <c r="AG40" s="95"/>
      <c r="AH40" s="95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  <c r="AV40" s="28"/>
    </row>
    <row r="41" spans="1:48" ht="12" customHeight="1" x14ac:dyDescent="0.25">
      <c r="A41" s="28"/>
      <c r="B41" s="95"/>
      <c r="C41" s="97"/>
      <c r="D41" s="97"/>
      <c r="E41" s="95"/>
      <c r="F41" s="95"/>
      <c r="G41" s="95"/>
      <c r="H41" s="28"/>
      <c r="I41" s="28"/>
      <c r="J41" s="28"/>
      <c r="K41" s="97"/>
      <c r="L41" s="98"/>
      <c r="M41" s="95"/>
      <c r="N41" s="98"/>
      <c r="O41" s="28"/>
      <c r="P41" s="95"/>
      <c r="Q41" s="28"/>
      <c r="R41" s="28"/>
      <c r="S41" s="28"/>
      <c r="T41" s="28"/>
      <c r="U41" s="97"/>
      <c r="V41" s="97"/>
      <c r="W41" s="97"/>
      <c r="X41" s="97"/>
      <c r="Y41" s="97"/>
      <c r="Z41" s="97"/>
      <c r="AA41" s="97"/>
      <c r="AB41" s="97"/>
      <c r="AC41" s="97"/>
      <c r="AD41" s="97"/>
      <c r="AE41" s="28"/>
      <c r="AF41" s="95"/>
      <c r="AG41" s="95"/>
      <c r="AH41" s="95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</row>
    <row r="42" spans="1:48" ht="12" customHeight="1" x14ac:dyDescent="0.25">
      <c r="A42" s="28"/>
      <c r="B42" s="95"/>
      <c r="C42" s="97"/>
      <c r="D42" s="97"/>
      <c r="E42" s="95"/>
      <c r="F42" s="95"/>
      <c r="G42" s="95"/>
      <c r="H42" s="28"/>
      <c r="I42" s="28"/>
      <c r="J42" s="28"/>
      <c r="K42" s="97"/>
      <c r="L42" s="98"/>
      <c r="M42" s="95"/>
      <c r="N42" s="98"/>
      <c r="O42" s="28"/>
      <c r="P42" s="95"/>
      <c r="Q42" s="28"/>
      <c r="R42" s="28"/>
      <c r="S42" s="28"/>
      <c r="T42" s="28"/>
      <c r="U42" s="97"/>
      <c r="V42" s="97"/>
      <c r="W42" s="97"/>
      <c r="X42" s="97"/>
      <c r="Y42" s="97"/>
      <c r="Z42" s="97"/>
      <c r="AA42" s="97"/>
      <c r="AB42" s="97"/>
      <c r="AC42" s="97"/>
      <c r="AD42" s="97"/>
      <c r="AE42" s="28"/>
      <c r="AF42" s="95"/>
      <c r="AG42" s="95"/>
      <c r="AH42" s="95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</row>
    <row r="43" spans="1:48" ht="12" customHeight="1" x14ac:dyDescent="0.25">
      <c r="A43" s="28"/>
      <c r="B43" s="95"/>
      <c r="C43" s="97"/>
      <c r="D43" s="97"/>
      <c r="E43" s="95"/>
      <c r="F43" s="95"/>
      <c r="G43" s="95"/>
      <c r="H43" s="28"/>
      <c r="I43" s="28"/>
      <c r="J43" s="28"/>
      <c r="K43" s="97"/>
      <c r="L43" s="98"/>
      <c r="M43" s="95"/>
      <c r="N43" s="98"/>
      <c r="O43" s="28"/>
      <c r="P43" s="95"/>
      <c r="Q43" s="28"/>
      <c r="R43" s="28"/>
      <c r="S43" s="28"/>
      <c r="T43" s="28"/>
      <c r="U43" s="97"/>
      <c r="V43" s="97"/>
      <c r="W43" s="97"/>
      <c r="X43" s="97"/>
      <c r="Y43" s="97"/>
      <c r="Z43" s="97"/>
      <c r="AA43" s="97"/>
      <c r="AB43" s="97"/>
      <c r="AC43" s="97"/>
      <c r="AD43" s="97"/>
      <c r="AE43" s="28"/>
      <c r="AF43" s="95"/>
      <c r="AG43" s="95"/>
      <c r="AH43" s="95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</row>
    <row r="44" spans="1:48" ht="12" customHeight="1" x14ac:dyDescent="0.25">
      <c r="A44" s="28"/>
      <c r="B44" s="95"/>
      <c r="C44" s="97"/>
      <c r="D44" s="97"/>
      <c r="E44" s="95"/>
      <c r="F44" s="95"/>
      <c r="G44" s="95"/>
      <c r="H44" s="28"/>
      <c r="I44" s="28"/>
      <c r="J44" s="28"/>
      <c r="K44" s="97"/>
      <c r="L44" s="98"/>
      <c r="M44" s="95"/>
      <c r="N44" s="98"/>
      <c r="O44" s="28"/>
      <c r="P44" s="95"/>
      <c r="Q44" s="28"/>
      <c r="R44" s="28"/>
      <c r="S44" s="28"/>
      <c r="T44" s="28"/>
      <c r="U44" s="97"/>
      <c r="V44" s="97"/>
      <c r="W44" s="97"/>
      <c r="X44" s="97"/>
      <c r="Y44" s="97"/>
      <c r="Z44" s="97"/>
      <c r="AA44" s="97"/>
      <c r="AB44" s="97"/>
      <c r="AC44" s="97"/>
      <c r="AD44" s="97"/>
      <c r="AE44" s="28"/>
      <c r="AF44" s="95"/>
      <c r="AG44" s="95"/>
      <c r="AH44" s="95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  <c r="AV44" s="28"/>
    </row>
    <row r="45" spans="1:48" ht="12" customHeight="1" x14ac:dyDescent="0.25">
      <c r="A45" s="28"/>
      <c r="B45" s="95"/>
      <c r="C45" s="97"/>
      <c r="D45" s="97"/>
      <c r="E45" s="95"/>
      <c r="F45" s="95"/>
      <c r="G45" s="95"/>
      <c r="H45" s="28"/>
      <c r="I45" s="28"/>
      <c r="J45" s="28"/>
      <c r="K45" s="97"/>
      <c r="L45" s="98"/>
      <c r="M45" s="95"/>
      <c r="N45" s="98"/>
      <c r="O45" s="28"/>
      <c r="P45" s="95"/>
      <c r="Q45" s="28"/>
      <c r="R45" s="28"/>
      <c r="S45" s="28"/>
      <c r="T45" s="28"/>
      <c r="U45" s="97"/>
      <c r="V45" s="97"/>
      <c r="W45" s="97"/>
      <c r="X45" s="97"/>
      <c r="Y45" s="97"/>
      <c r="Z45" s="97"/>
      <c r="AA45" s="97"/>
      <c r="AB45" s="97"/>
      <c r="AC45" s="97"/>
      <c r="AD45" s="97"/>
      <c r="AE45" s="28"/>
      <c r="AF45" s="95"/>
      <c r="AG45" s="95"/>
      <c r="AH45" s="95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  <c r="AV45" s="28"/>
    </row>
    <row r="46" spans="1:48" ht="12" customHeight="1" x14ac:dyDescent="0.25">
      <c r="A46" s="28"/>
      <c r="B46" s="95"/>
      <c r="C46" s="97"/>
      <c r="D46" s="97"/>
      <c r="E46" s="95"/>
      <c r="F46" s="95"/>
      <c r="G46" s="95"/>
      <c r="H46" s="28"/>
      <c r="I46" s="28"/>
      <c r="J46" s="28"/>
      <c r="K46" s="97"/>
      <c r="L46" s="98"/>
      <c r="M46" s="95"/>
      <c r="N46" s="98"/>
      <c r="O46" s="28"/>
      <c r="P46" s="95"/>
      <c r="Q46" s="28"/>
      <c r="R46" s="28"/>
      <c r="S46" s="28"/>
      <c r="T46" s="28"/>
      <c r="U46" s="97"/>
      <c r="V46" s="97"/>
      <c r="W46" s="97"/>
      <c r="X46" s="97"/>
      <c r="Y46" s="97"/>
      <c r="Z46" s="97"/>
      <c r="AA46" s="97"/>
      <c r="AB46" s="97"/>
      <c r="AC46" s="97"/>
      <c r="AD46" s="97"/>
      <c r="AE46" s="28"/>
      <c r="AF46" s="95"/>
      <c r="AG46" s="95"/>
      <c r="AH46" s="95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  <c r="AV46" s="28"/>
    </row>
    <row r="47" spans="1:48" ht="12" customHeight="1" x14ac:dyDescent="0.25">
      <c r="A47" s="28"/>
      <c r="B47" s="95"/>
      <c r="C47" s="97"/>
      <c r="D47" s="97"/>
      <c r="E47" s="95"/>
      <c r="F47" s="95"/>
      <c r="G47" s="95"/>
      <c r="H47" s="28"/>
      <c r="I47" s="28"/>
      <c r="J47" s="28"/>
      <c r="K47" s="97"/>
      <c r="L47" s="98"/>
      <c r="M47" s="95"/>
      <c r="N47" s="98"/>
      <c r="O47" s="28"/>
      <c r="P47" s="95"/>
      <c r="Q47" s="28"/>
      <c r="R47" s="28"/>
      <c r="S47" s="28"/>
      <c r="T47" s="28"/>
      <c r="U47" s="97"/>
      <c r="V47" s="97"/>
      <c r="W47" s="97"/>
      <c r="X47" s="97"/>
      <c r="Y47" s="97"/>
      <c r="Z47" s="97"/>
      <c r="AA47" s="97"/>
      <c r="AB47" s="97"/>
      <c r="AC47" s="97"/>
      <c r="AD47" s="97"/>
      <c r="AE47" s="28"/>
      <c r="AF47" s="95"/>
      <c r="AG47" s="95"/>
      <c r="AH47" s="95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  <c r="AV47" s="28"/>
    </row>
    <row r="48" spans="1:48" ht="12" customHeight="1" x14ac:dyDescent="0.25">
      <c r="A48" s="28"/>
      <c r="B48" s="95"/>
      <c r="C48" s="97"/>
      <c r="D48" s="97"/>
      <c r="E48" s="95"/>
      <c r="F48" s="95"/>
      <c r="G48" s="95"/>
      <c r="H48" s="28"/>
      <c r="I48" s="28"/>
      <c r="J48" s="28"/>
      <c r="K48" s="97"/>
      <c r="L48" s="98"/>
      <c r="M48" s="95"/>
      <c r="N48" s="98"/>
      <c r="O48" s="28"/>
      <c r="P48" s="95"/>
      <c r="Q48" s="28"/>
      <c r="R48" s="28"/>
      <c r="S48" s="28"/>
      <c r="T48" s="28"/>
      <c r="U48" s="97"/>
      <c r="V48" s="97"/>
      <c r="W48" s="97"/>
      <c r="X48" s="97"/>
      <c r="Y48" s="97"/>
      <c r="Z48" s="97"/>
      <c r="AA48" s="97"/>
      <c r="AB48" s="97"/>
      <c r="AC48" s="97"/>
      <c r="AD48" s="97"/>
      <c r="AE48" s="28"/>
      <c r="AF48" s="95"/>
      <c r="AG48" s="95"/>
      <c r="AH48" s="95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  <c r="AV48" s="28"/>
    </row>
    <row r="49" spans="1:48" ht="12" customHeight="1" x14ac:dyDescent="0.25">
      <c r="A49" s="28"/>
      <c r="B49" s="95"/>
      <c r="C49" s="97"/>
      <c r="D49" s="97"/>
      <c r="E49" s="95"/>
      <c r="F49" s="95"/>
      <c r="G49" s="95"/>
      <c r="H49" s="28"/>
      <c r="I49" s="28"/>
      <c r="J49" s="28"/>
      <c r="K49" s="97"/>
      <c r="L49" s="98"/>
      <c r="M49" s="95"/>
      <c r="N49" s="98"/>
      <c r="O49" s="28"/>
      <c r="P49" s="95"/>
      <c r="Q49" s="28"/>
      <c r="R49" s="28"/>
      <c r="S49" s="28"/>
      <c r="T49" s="28"/>
      <c r="U49" s="97"/>
      <c r="V49" s="97"/>
      <c r="W49" s="97"/>
      <c r="X49" s="97"/>
      <c r="Y49" s="97"/>
      <c r="Z49" s="97"/>
      <c r="AA49" s="97"/>
      <c r="AB49" s="97"/>
      <c r="AC49" s="97"/>
      <c r="AD49" s="97"/>
      <c r="AE49" s="28"/>
      <c r="AF49" s="95"/>
      <c r="AG49" s="95"/>
      <c r="AH49" s="95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  <c r="AV49" s="28"/>
    </row>
    <row r="50" spans="1:48" ht="12" customHeight="1" x14ac:dyDescent="0.25">
      <c r="A50" s="28"/>
      <c r="B50" s="95"/>
      <c r="C50" s="97"/>
      <c r="D50" s="97"/>
      <c r="E50" s="95"/>
      <c r="F50" s="95"/>
      <c r="G50" s="95"/>
      <c r="H50" s="28"/>
      <c r="I50" s="28"/>
      <c r="J50" s="28"/>
      <c r="K50" s="97"/>
      <c r="L50" s="98"/>
      <c r="M50" s="95"/>
      <c r="N50" s="98"/>
      <c r="O50" s="28"/>
      <c r="P50" s="95"/>
      <c r="Q50" s="28"/>
      <c r="R50" s="28"/>
      <c r="S50" s="28"/>
      <c r="T50" s="28"/>
      <c r="U50" s="97"/>
      <c r="V50" s="97"/>
      <c r="W50" s="97"/>
      <c r="X50" s="97"/>
      <c r="Y50" s="97"/>
      <c r="Z50" s="97"/>
      <c r="AA50" s="97"/>
      <c r="AB50" s="97"/>
      <c r="AC50" s="97"/>
      <c r="AD50" s="97"/>
      <c r="AE50" s="28"/>
      <c r="AF50" s="95"/>
      <c r="AG50" s="95"/>
      <c r="AH50" s="95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</row>
    <row r="51" spans="1:48" ht="12" customHeight="1" x14ac:dyDescent="0.25">
      <c r="A51" s="28"/>
      <c r="B51" s="95"/>
      <c r="C51" s="97"/>
      <c r="D51" s="97"/>
      <c r="E51" s="95"/>
      <c r="F51" s="95"/>
      <c r="G51" s="95"/>
      <c r="H51" s="28"/>
      <c r="I51" s="28"/>
      <c r="J51" s="28"/>
      <c r="K51" s="97"/>
      <c r="L51" s="98"/>
      <c r="M51" s="95"/>
      <c r="N51" s="98"/>
      <c r="O51" s="28"/>
      <c r="P51" s="95"/>
      <c r="Q51" s="28"/>
      <c r="R51" s="28"/>
      <c r="S51" s="28"/>
      <c r="T51" s="28"/>
      <c r="U51" s="97"/>
      <c r="V51" s="97"/>
      <c r="W51" s="97"/>
      <c r="X51" s="97"/>
      <c r="Y51" s="97"/>
      <c r="Z51" s="97"/>
      <c r="AA51" s="97"/>
      <c r="AB51" s="97"/>
      <c r="AC51" s="97"/>
      <c r="AD51" s="97"/>
      <c r="AE51" s="28"/>
      <c r="AF51" s="95"/>
      <c r="AG51" s="95"/>
      <c r="AH51" s="95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  <c r="AV51" s="28"/>
    </row>
    <row r="52" spans="1:48" ht="12" customHeight="1" x14ac:dyDescent="0.25">
      <c r="A52" s="28"/>
      <c r="B52" s="95"/>
      <c r="C52" s="97"/>
      <c r="D52" s="97"/>
      <c r="E52" s="95"/>
      <c r="F52" s="95"/>
      <c r="G52" s="95"/>
      <c r="H52" s="28"/>
      <c r="I52" s="28"/>
      <c r="J52" s="28"/>
      <c r="K52" s="97"/>
      <c r="L52" s="98"/>
      <c r="M52" s="95"/>
      <c r="N52" s="98"/>
      <c r="O52" s="28"/>
      <c r="P52" s="95"/>
      <c r="Q52" s="28"/>
      <c r="R52" s="28"/>
      <c r="S52" s="28"/>
      <c r="T52" s="28"/>
      <c r="U52" s="97"/>
      <c r="V52" s="97"/>
      <c r="W52" s="97"/>
      <c r="X52" s="97"/>
      <c r="Y52" s="97"/>
      <c r="Z52" s="97"/>
      <c r="AA52" s="97"/>
      <c r="AB52" s="97"/>
      <c r="AC52" s="97"/>
      <c r="AD52" s="97"/>
      <c r="AE52" s="28"/>
      <c r="AF52" s="95"/>
      <c r="AG52" s="95"/>
      <c r="AH52" s="95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  <c r="AV52" s="28"/>
    </row>
    <row r="53" spans="1:48" ht="12" customHeight="1" x14ac:dyDescent="0.25">
      <c r="A53" s="28"/>
      <c r="B53" s="95"/>
      <c r="C53" s="97"/>
      <c r="D53" s="97"/>
      <c r="E53" s="95"/>
      <c r="F53" s="95"/>
      <c r="G53" s="95"/>
      <c r="H53" s="28"/>
      <c r="I53" s="28"/>
      <c r="J53" s="28"/>
      <c r="K53" s="97"/>
      <c r="L53" s="98"/>
      <c r="M53" s="95"/>
      <c r="N53" s="98"/>
      <c r="O53" s="28"/>
      <c r="P53" s="95"/>
      <c r="Q53" s="28"/>
      <c r="R53" s="28"/>
      <c r="S53" s="28"/>
      <c r="T53" s="28"/>
      <c r="U53" s="97"/>
      <c r="V53" s="97"/>
      <c r="W53" s="97"/>
      <c r="X53" s="97"/>
      <c r="Y53" s="97"/>
      <c r="Z53" s="97"/>
      <c r="AA53" s="97"/>
      <c r="AB53" s="97"/>
      <c r="AC53" s="97"/>
      <c r="AD53" s="97"/>
      <c r="AE53" s="28"/>
      <c r="AF53" s="95"/>
      <c r="AG53" s="95"/>
      <c r="AH53" s="95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  <c r="AV53" s="28"/>
    </row>
    <row r="54" spans="1:48" ht="12" customHeight="1" x14ac:dyDescent="0.25">
      <c r="A54" s="28"/>
      <c r="B54" s="95"/>
      <c r="C54" s="97"/>
      <c r="D54" s="97"/>
      <c r="E54" s="95"/>
      <c r="F54" s="95"/>
      <c r="G54" s="95"/>
      <c r="H54" s="28"/>
      <c r="I54" s="28"/>
      <c r="J54" s="28"/>
      <c r="K54" s="97"/>
      <c r="L54" s="98"/>
      <c r="M54" s="95"/>
      <c r="N54" s="98"/>
      <c r="O54" s="28"/>
      <c r="P54" s="95"/>
      <c r="Q54" s="28"/>
      <c r="R54" s="28"/>
      <c r="S54" s="28"/>
      <c r="T54" s="28"/>
      <c r="U54" s="97"/>
      <c r="V54" s="97"/>
      <c r="W54" s="97"/>
      <c r="X54" s="97"/>
      <c r="Y54" s="97"/>
      <c r="Z54" s="97"/>
      <c r="AA54" s="97"/>
      <c r="AB54" s="97"/>
      <c r="AC54" s="97"/>
      <c r="AD54" s="97"/>
      <c r="AE54" s="28"/>
      <c r="AF54" s="95"/>
      <c r="AG54" s="95"/>
      <c r="AH54" s="95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  <c r="AV54" s="28"/>
    </row>
    <row r="55" spans="1:48" ht="12" customHeight="1" x14ac:dyDescent="0.25">
      <c r="A55" s="28"/>
      <c r="B55" s="95"/>
      <c r="C55" s="97"/>
      <c r="D55" s="97"/>
      <c r="E55" s="95"/>
      <c r="F55" s="95"/>
      <c r="G55" s="95"/>
      <c r="H55" s="28"/>
      <c r="I55" s="28"/>
      <c r="J55" s="28"/>
      <c r="K55" s="97"/>
      <c r="L55" s="98"/>
      <c r="M55" s="95"/>
      <c r="N55" s="98"/>
      <c r="O55" s="28"/>
      <c r="P55" s="95"/>
      <c r="Q55" s="28"/>
      <c r="R55" s="28"/>
      <c r="S55" s="28"/>
      <c r="T55" s="28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28"/>
      <c r="AF55" s="95"/>
      <c r="AG55" s="95"/>
      <c r="AH55" s="95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  <c r="AV55" s="28"/>
    </row>
    <row r="56" spans="1:48" ht="12" customHeight="1" x14ac:dyDescent="0.25">
      <c r="A56" s="28"/>
      <c r="B56" s="95"/>
      <c r="C56" s="97"/>
      <c r="D56" s="97"/>
      <c r="E56" s="95"/>
      <c r="F56" s="95"/>
      <c r="G56" s="95"/>
      <c r="H56" s="28"/>
      <c r="I56" s="28"/>
      <c r="J56" s="28"/>
      <c r="K56" s="97"/>
      <c r="L56" s="98"/>
      <c r="M56" s="95"/>
      <c r="N56" s="98"/>
      <c r="O56" s="28"/>
      <c r="P56" s="95"/>
      <c r="Q56" s="28"/>
      <c r="R56" s="28"/>
      <c r="S56" s="28"/>
      <c r="T56" s="28"/>
      <c r="U56" s="97"/>
      <c r="V56" s="97"/>
      <c r="W56" s="97"/>
      <c r="X56" s="97"/>
      <c r="Y56" s="97"/>
      <c r="Z56" s="97"/>
      <c r="AA56" s="97"/>
      <c r="AB56" s="97"/>
      <c r="AC56" s="97"/>
      <c r="AD56" s="97"/>
      <c r="AE56" s="28"/>
      <c r="AF56" s="95"/>
      <c r="AG56" s="95"/>
      <c r="AH56" s="95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</row>
    <row r="57" spans="1:48" ht="12" customHeight="1" x14ac:dyDescent="0.25">
      <c r="A57" s="28"/>
      <c r="B57" s="95"/>
      <c r="C57" s="97"/>
      <c r="D57" s="97"/>
      <c r="E57" s="95"/>
      <c r="F57" s="95"/>
      <c r="G57" s="95"/>
      <c r="H57" s="28"/>
      <c r="I57" s="28"/>
      <c r="J57" s="28"/>
      <c r="K57" s="97"/>
      <c r="L57" s="98"/>
      <c r="M57" s="95"/>
      <c r="N57" s="98"/>
      <c r="O57" s="28"/>
      <c r="P57" s="95"/>
      <c r="Q57" s="28"/>
      <c r="R57" s="28"/>
      <c r="S57" s="28"/>
      <c r="T57" s="28"/>
      <c r="U57" s="97"/>
      <c r="V57" s="97"/>
      <c r="W57" s="97"/>
      <c r="X57" s="97"/>
      <c r="Y57" s="97"/>
      <c r="Z57" s="97"/>
      <c r="AA57" s="97"/>
      <c r="AB57" s="97"/>
      <c r="AC57" s="97"/>
      <c r="AD57" s="97"/>
      <c r="AE57" s="28"/>
      <c r="AF57" s="95"/>
      <c r="AG57" s="95"/>
      <c r="AH57" s="95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  <c r="AV57" s="28"/>
    </row>
    <row r="58" spans="1:48" ht="12" customHeight="1" x14ac:dyDescent="0.25">
      <c r="A58" s="28"/>
      <c r="B58" s="95"/>
      <c r="C58" s="97"/>
      <c r="D58" s="97"/>
      <c r="E58" s="95"/>
      <c r="F58" s="95"/>
      <c r="G58" s="95"/>
      <c r="H58" s="28"/>
      <c r="I58" s="28"/>
      <c r="J58" s="28"/>
      <c r="K58" s="97"/>
      <c r="L58" s="98"/>
      <c r="M58" s="95"/>
      <c r="N58" s="98"/>
      <c r="O58" s="28"/>
      <c r="P58" s="95"/>
      <c r="Q58" s="28"/>
      <c r="R58" s="28"/>
      <c r="S58" s="28"/>
      <c r="T58" s="28"/>
      <c r="U58" s="97"/>
      <c r="V58" s="97"/>
      <c r="W58" s="97"/>
      <c r="X58" s="97"/>
      <c r="Y58" s="97"/>
      <c r="Z58" s="97"/>
      <c r="AA58" s="97"/>
      <c r="AB58" s="97"/>
      <c r="AC58" s="97"/>
      <c r="AD58" s="97"/>
      <c r="AE58" s="28"/>
      <c r="AF58" s="95"/>
      <c r="AG58" s="95"/>
      <c r="AH58" s="95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  <c r="AV58" s="28"/>
    </row>
    <row r="59" spans="1:48" ht="12" customHeight="1" x14ac:dyDescent="0.25">
      <c r="A59" s="28"/>
      <c r="B59" s="95"/>
      <c r="C59" s="97"/>
      <c r="D59" s="97"/>
      <c r="E59" s="95"/>
      <c r="F59" s="95"/>
      <c r="G59" s="95"/>
      <c r="H59" s="28"/>
      <c r="I59" s="28"/>
      <c r="J59" s="28"/>
      <c r="K59" s="97"/>
      <c r="L59" s="98"/>
      <c r="M59" s="95"/>
      <c r="N59" s="98"/>
      <c r="O59" s="28"/>
      <c r="P59" s="95"/>
      <c r="Q59" s="28"/>
      <c r="R59" s="28"/>
      <c r="S59" s="28"/>
      <c r="T59" s="28"/>
      <c r="U59" s="97"/>
      <c r="V59" s="97"/>
      <c r="W59" s="97"/>
      <c r="X59" s="97"/>
      <c r="Y59" s="97"/>
      <c r="Z59" s="97"/>
      <c r="AA59" s="97"/>
      <c r="AB59" s="97"/>
      <c r="AC59" s="97"/>
      <c r="AD59" s="97"/>
      <c r="AE59" s="28"/>
      <c r="AF59" s="95"/>
      <c r="AG59" s="95"/>
      <c r="AH59" s="95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  <c r="AV59" s="28"/>
    </row>
    <row r="60" spans="1:48" ht="12" customHeight="1" x14ac:dyDescent="0.25">
      <c r="A60" s="28"/>
      <c r="B60" s="95"/>
      <c r="C60" s="97"/>
      <c r="D60" s="97"/>
      <c r="E60" s="95"/>
      <c r="F60" s="95"/>
      <c r="G60" s="95"/>
      <c r="H60" s="28"/>
      <c r="I60" s="28"/>
      <c r="J60" s="28"/>
      <c r="K60" s="97"/>
      <c r="L60" s="98"/>
      <c r="M60" s="95"/>
      <c r="N60" s="98"/>
      <c r="O60" s="28"/>
      <c r="P60" s="95"/>
      <c r="Q60" s="28"/>
      <c r="R60" s="28"/>
      <c r="S60" s="28"/>
      <c r="T60" s="28"/>
      <c r="U60" s="97"/>
      <c r="V60" s="97"/>
      <c r="W60" s="97"/>
      <c r="X60" s="97"/>
      <c r="Y60" s="97"/>
      <c r="Z60" s="97"/>
      <c r="AA60" s="97"/>
      <c r="AB60" s="97"/>
      <c r="AC60" s="97"/>
      <c r="AD60" s="97"/>
      <c r="AE60" s="28"/>
      <c r="AF60" s="95"/>
      <c r="AG60" s="95"/>
      <c r="AH60" s="95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  <c r="AV60" s="28"/>
    </row>
    <row r="61" spans="1:48" ht="12" customHeight="1" x14ac:dyDescent="0.25">
      <c r="A61" s="28"/>
      <c r="B61" s="95"/>
      <c r="C61" s="97"/>
      <c r="D61" s="97"/>
      <c r="E61" s="95"/>
      <c r="F61" s="95"/>
      <c r="G61" s="95"/>
      <c r="H61" s="28"/>
      <c r="I61" s="28"/>
      <c r="J61" s="28"/>
      <c r="K61" s="97"/>
      <c r="L61" s="98"/>
      <c r="M61" s="95"/>
      <c r="N61" s="98"/>
      <c r="O61" s="28"/>
      <c r="P61" s="95"/>
      <c r="Q61" s="28"/>
      <c r="R61" s="28"/>
      <c r="S61" s="28"/>
      <c r="T61" s="28"/>
      <c r="U61" s="97"/>
      <c r="V61" s="97"/>
      <c r="W61" s="97"/>
      <c r="X61" s="97"/>
      <c r="Y61" s="97"/>
      <c r="Z61" s="97"/>
      <c r="AA61" s="97"/>
      <c r="AB61" s="97"/>
      <c r="AC61" s="97"/>
      <c r="AD61" s="97"/>
      <c r="AE61" s="28"/>
      <c r="AF61" s="95"/>
      <c r="AG61" s="95"/>
      <c r="AH61" s="95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  <c r="AV61" s="28"/>
    </row>
    <row r="62" spans="1:48" ht="12" customHeight="1" x14ac:dyDescent="0.25">
      <c r="A62" s="28"/>
      <c r="B62" s="95"/>
      <c r="C62" s="97"/>
      <c r="D62" s="97"/>
      <c r="E62" s="95"/>
      <c r="F62" s="95"/>
      <c r="G62" s="95"/>
      <c r="H62" s="28"/>
      <c r="I62" s="28"/>
      <c r="J62" s="28"/>
      <c r="K62" s="97"/>
      <c r="L62" s="98"/>
      <c r="M62" s="95"/>
      <c r="N62" s="98"/>
      <c r="O62" s="28"/>
      <c r="P62" s="95"/>
      <c r="Q62" s="28"/>
      <c r="R62" s="28"/>
      <c r="S62" s="28"/>
      <c r="T62" s="28"/>
      <c r="U62" s="97"/>
      <c r="V62" s="97"/>
      <c r="W62" s="97"/>
      <c r="X62" s="97"/>
      <c r="Y62" s="97"/>
      <c r="Z62" s="97"/>
      <c r="AA62" s="97"/>
      <c r="AB62" s="97"/>
      <c r="AC62" s="97"/>
      <c r="AD62" s="97"/>
      <c r="AE62" s="28"/>
      <c r="AF62" s="95"/>
      <c r="AG62" s="95"/>
      <c r="AH62" s="95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  <c r="AV62" s="28"/>
    </row>
    <row r="63" spans="1:48" ht="12" customHeight="1" x14ac:dyDescent="0.25">
      <c r="A63" s="28"/>
      <c r="B63" s="95"/>
      <c r="C63" s="97"/>
      <c r="D63" s="97"/>
      <c r="E63" s="95"/>
      <c r="F63" s="95"/>
      <c r="G63" s="95"/>
      <c r="H63" s="28"/>
      <c r="I63" s="28"/>
      <c r="J63" s="28"/>
      <c r="K63" s="97"/>
      <c r="L63" s="98"/>
      <c r="M63" s="95"/>
      <c r="N63" s="98"/>
      <c r="O63" s="28"/>
      <c r="P63" s="95"/>
      <c r="Q63" s="28"/>
      <c r="R63" s="28"/>
      <c r="S63" s="28"/>
      <c r="T63" s="28"/>
      <c r="U63" s="97"/>
      <c r="V63" s="97"/>
      <c r="W63" s="97"/>
      <c r="X63" s="97"/>
      <c r="Y63" s="97"/>
      <c r="Z63" s="97"/>
      <c r="AA63" s="97"/>
      <c r="AB63" s="97"/>
      <c r="AC63" s="97"/>
      <c r="AD63" s="97"/>
      <c r="AE63" s="28"/>
      <c r="AF63" s="95"/>
      <c r="AG63" s="95"/>
      <c r="AH63" s="95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  <c r="AV63" s="28"/>
    </row>
    <row r="64" spans="1:48" ht="12" customHeight="1" x14ac:dyDescent="0.25">
      <c r="A64" s="28"/>
      <c r="B64" s="95"/>
      <c r="C64" s="97"/>
      <c r="D64" s="97"/>
      <c r="E64" s="95"/>
      <c r="F64" s="95"/>
      <c r="G64" s="95"/>
      <c r="H64" s="28"/>
      <c r="I64" s="28"/>
      <c r="J64" s="28"/>
      <c r="K64" s="97"/>
      <c r="L64" s="98"/>
      <c r="M64" s="95"/>
      <c r="N64" s="98"/>
      <c r="O64" s="28"/>
      <c r="P64" s="95"/>
      <c r="Q64" s="28"/>
      <c r="R64" s="28"/>
      <c r="S64" s="28"/>
      <c r="T64" s="28"/>
      <c r="U64" s="97"/>
      <c r="V64" s="97"/>
      <c r="W64" s="97"/>
      <c r="X64" s="97"/>
      <c r="Y64" s="97"/>
      <c r="Z64" s="97"/>
      <c r="AA64" s="97"/>
      <c r="AB64" s="97"/>
      <c r="AC64" s="97"/>
      <c r="AD64" s="97"/>
      <c r="AE64" s="28"/>
      <c r="AF64" s="95"/>
      <c r="AG64" s="95"/>
      <c r="AH64" s="95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  <c r="AV64" s="28"/>
    </row>
    <row r="65" spans="1:48" ht="12" customHeight="1" x14ac:dyDescent="0.25">
      <c r="A65" s="28"/>
      <c r="B65" s="95"/>
      <c r="C65" s="97"/>
      <c r="D65" s="97"/>
      <c r="E65" s="95"/>
      <c r="F65" s="95"/>
      <c r="G65" s="95"/>
      <c r="H65" s="28"/>
      <c r="I65" s="28"/>
      <c r="J65" s="28"/>
      <c r="K65" s="97"/>
      <c r="L65" s="98"/>
      <c r="M65" s="95"/>
      <c r="N65" s="98"/>
      <c r="O65" s="28"/>
      <c r="P65" s="95"/>
      <c r="Q65" s="28"/>
      <c r="R65" s="28"/>
      <c r="S65" s="28"/>
      <c r="T65" s="28"/>
      <c r="U65" s="97"/>
      <c r="V65" s="97"/>
      <c r="W65" s="97"/>
      <c r="X65" s="97"/>
      <c r="Y65" s="97"/>
      <c r="Z65" s="97"/>
      <c r="AA65" s="97"/>
      <c r="AB65" s="97"/>
      <c r="AC65" s="97"/>
      <c r="AD65" s="97"/>
      <c r="AE65" s="28"/>
      <c r="AF65" s="95"/>
      <c r="AG65" s="95"/>
      <c r="AH65" s="95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  <c r="AV65" s="28"/>
    </row>
    <row r="66" spans="1:48" ht="12" customHeight="1" x14ac:dyDescent="0.25">
      <c r="A66" s="28"/>
      <c r="B66" s="95"/>
      <c r="C66" s="97"/>
      <c r="D66" s="97"/>
      <c r="E66" s="95"/>
      <c r="F66" s="95"/>
      <c r="G66" s="95"/>
      <c r="H66" s="28"/>
      <c r="I66" s="28"/>
      <c r="J66" s="28"/>
      <c r="K66" s="97"/>
      <c r="L66" s="98"/>
      <c r="M66" s="95"/>
      <c r="N66" s="98"/>
      <c r="O66" s="28"/>
      <c r="P66" s="95"/>
      <c r="Q66" s="28"/>
      <c r="R66" s="28"/>
      <c r="S66" s="28"/>
      <c r="T66" s="28"/>
      <c r="U66" s="97"/>
      <c r="V66" s="97"/>
      <c r="W66" s="97"/>
      <c r="X66" s="97"/>
      <c r="Y66" s="97"/>
      <c r="Z66" s="97"/>
      <c r="AA66" s="97"/>
      <c r="AB66" s="97"/>
      <c r="AC66" s="97"/>
      <c r="AD66" s="97"/>
      <c r="AE66" s="28"/>
      <c r="AF66" s="95"/>
      <c r="AG66" s="95"/>
      <c r="AH66" s="95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  <c r="AV66" s="28"/>
    </row>
    <row r="67" spans="1:48" ht="12" customHeight="1" x14ac:dyDescent="0.25">
      <c r="A67" s="28"/>
      <c r="B67" s="95"/>
      <c r="C67" s="97"/>
      <c r="D67" s="97"/>
      <c r="E67" s="95"/>
      <c r="F67" s="95"/>
      <c r="G67" s="95"/>
      <c r="H67" s="28"/>
      <c r="I67" s="28"/>
      <c r="J67" s="28"/>
      <c r="K67" s="97"/>
      <c r="L67" s="98"/>
      <c r="M67" s="95"/>
      <c r="N67" s="98"/>
      <c r="O67" s="28"/>
      <c r="P67" s="95"/>
      <c r="Q67" s="28"/>
      <c r="R67" s="28"/>
      <c r="S67" s="28"/>
      <c r="T67" s="28"/>
      <c r="U67" s="97"/>
      <c r="V67" s="97"/>
      <c r="W67" s="97"/>
      <c r="X67" s="97"/>
      <c r="Y67" s="97"/>
      <c r="Z67" s="97"/>
      <c r="AA67" s="97"/>
      <c r="AB67" s="97"/>
      <c r="AC67" s="97"/>
      <c r="AD67" s="97"/>
      <c r="AE67" s="28"/>
      <c r="AF67" s="95"/>
      <c r="AG67" s="95"/>
      <c r="AH67" s="95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  <c r="AV67" s="28"/>
    </row>
    <row r="68" spans="1:48" ht="12" customHeight="1" x14ac:dyDescent="0.25">
      <c r="A68" s="28"/>
      <c r="B68" s="95"/>
      <c r="C68" s="97"/>
      <c r="D68" s="97"/>
      <c r="E68" s="95"/>
      <c r="F68" s="95"/>
      <c r="G68" s="95"/>
      <c r="H68" s="28"/>
      <c r="I68" s="28"/>
      <c r="J68" s="28"/>
      <c r="K68" s="97"/>
      <c r="L68" s="98"/>
      <c r="M68" s="95"/>
      <c r="N68" s="98"/>
      <c r="O68" s="28"/>
      <c r="P68" s="95"/>
      <c r="Q68" s="28"/>
      <c r="R68" s="28"/>
      <c r="S68" s="28"/>
      <c r="T68" s="28"/>
      <c r="U68" s="97"/>
      <c r="V68" s="97"/>
      <c r="W68" s="97"/>
      <c r="X68" s="97"/>
      <c r="Y68" s="97"/>
      <c r="Z68" s="97"/>
      <c r="AA68" s="97"/>
      <c r="AB68" s="97"/>
      <c r="AC68" s="97"/>
      <c r="AD68" s="97"/>
      <c r="AE68" s="28"/>
      <c r="AF68" s="95"/>
      <c r="AG68" s="95"/>
      <c r="AH68" s="95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  <c r="AV68" s="28"/>
    </row>
    <row r="69" spans="1:48" ht="12" customHeight="1" x14ac:dyDescent="0.25">
      <c r="A69" s="28"/>
      <c r="B69" s="95"/>
      <c r="C69" s="97"/>
      <c r="D69" s="97"/>
      <c r="E69" s="95"/>
      <c r="F69" s="95"/>
      <c r="G69" s="95"/>
      <c r="H69" s="28"/>
      <c r="I69" s="28"/>
      <c r="J69" s="28"/>
      <c r="K69" s="97"/>
      <c r="L69" s="98"/>
      <c r="M69" s="95"/>
      <c r="N69" s="98"/>
      <c r="O69" s="28"/>
      <c r="P69" s="95"/>
      <c r="Q69" s="28"/>
      <c r="R69" s="28"/>
      <c r="S69" s="28"/>
      <c r="T69" s="28"/>
      <c r="U69" s="97"/>
      <c r="V69" s="97"/>
      <c r="W69" s="97"/>
      <c r="X69" s="97"/>
      <c r="Y69" s="97"/>
      <c r="Z69" s="97"/>
      <c r="AA69" s="97"/>
      <c r="AB69" s="97"/>
      <c r="AC69" s="97"/>
      <c r="AD69" s="97"/>
      <c r="AE69" s="28"/>
      <c r="AF69" s="95"/>
      <c r="AG69" s="95"/>
      <c r="AH69" s="95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  <c r="AV69" s="28"/>
    </row>
    <row r="70" spans="1:48" ht="12" customHeight="1" x14ac:dyDescent="0.25">
      <c r="A70" s="28"/>
      <c r="B70" s="95"/>
      <c r="C70" s="97"/>
      <c r="D70" s="97"/>
      <c r="E70" s="95"/>
      <c r="F70" s="95"/>
      <c r="G70" s="95"/>
      <c r="H70" s="28"/>
      <c r="I70" s="28"/>
      <c r="J70" s="28"/>
      <c r="K70" s="97"/>
      <c r="L70" s="98"/>
      <c r="M70" s="95"/>
      <c r="N70" s="98"/>
      <c r="O70" s="28"/>
      <c r="P70" s="95"/>
      <c r="Q70" s="28"/>
      <c r="R70" s="28"/>
      <c r="S70" s="28"/>
      <c r="T70" s="28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28"/>
      <c r="AF70" s="95"/>
      <c r="AG70" s="95"/>
      <c r="AH70" s="95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  <c r="AV70" s="28"/>
    </row>
    <row r="71" spans="1:48" ht="12" customHeight="1" x14ac:dyDescent="0.25">
      <c r="A71" s="28"/>
      <c r="B71" s="95"/>
      <c r="C71" s="97"/>
      <c r="D71" s="97"/>
      <c r="E71" s="95"/>
      <c r="F71" s="95"/>
      <c r="G71" s="95"/>
      <c r="H71" s="28"/>
      <c r="I71" s="28"/>
      <c r="J71" s="28"/>
      <c r="K71" s="97"/>
      <c r="L71" s="98"/>
      <c r="M71" s="95"/>
      <c r="N71" s="98"/>
      <c r="O71" s="28"/>
      <c r="P71" s="95"/>
      <c r="Q71" s="28"/>
      <c r="R71" s="28"/>
      <c r="S71" s="28"/>
      <c r="T71" s="28"/>
      <c r="U71" s="97"/>
      <c r="V71" s="97"/>
      <c r="W71" s="97"/>
      <c r="X71" s="97"/>
      <c r="Y71" s="97"/>
      <c r="Z71" s="97"/>
      <c r="AA71" s="97"/>
      <c r="AB71" s="97"/>
      <c r="AC71" s="97"/>
      <c r="AD71" s="97"/>
      <c r="AE71" s="28"/>
      <c r="AF71" s="95"/>
      <c r="AG71" s="95"/>
      <c r="AH71" s="95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  <c r="AV71" s="28"/>
    </row>
    <row r="72" spans="1:48" ht="12" customHeight="1" x14ac:dyDescent="0.25">
      <c r="A72" s="28"/>
      <c r="B72" s="95"/>
      <c r="C72" s="97"/>
      <c r="D72" s="97"/>
      <c r="E72" s="95"/>
      <c r="F72" s="95"/>
      <c r="G72" s="95"/>
      <c r="H72" s="28"/>
      <c r="I72" s="28"/>
      <c r="J72" s="28"/>
      <c r="K72" s="97"/>
      <c r="L72" s="98"/>
      <c r="M72" s="95"/>
      <c r="N72" s="98"/>
      <c r="O72" s="28"/>
      <c r="P72" s="95"/>
      <c r="Q72" s="28"/>
      <c r="R72" s="28"/>
      <c r="S72" s="28"/>
      <c r="T72" s="28"/>
      <c r="U72" s="97"/>
      <c r="V72" s="97"/>
      <c r="W72" s="97"/>
      <c r="X72" s="97"/>
      <c r="Y72" s="97"/>
      <c r="Z72" s="97"/>
      <c r="AA72" s="97"/>
      <c r="AB72" s="97"/>
      <c r="AC72" s="97"/>
      <c r="AD72" s="97"/>
      <c r="AE72" s="28"/>
      <c r="AF72" s="95"/>
      <c r="AG72" s="95"/>
      <c r="AH72" s="95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  <c r="AV72" s="28"/>
    </row>
    <row r="73" spans="1:48" ht="12" customHeight="1" x14ac:dyDescent="0.25">
      <c r="A73" s="28"/>
      <c r="B73" s="95"/>
      <c r="C73" s="97"/>
      <c r="D73" s="97"/>
      <c r="E73" s="95"/>
      <c r="F73" s="95"/>
      <c r="G73" s="95"/>
      <c r="H73" s="28"/>
      <c r="I73" s="28"/>
      <c r="J73" s="28"/>
      <c r="K73" s="97"/>
      <c r="L73" s="98"/>
      <c r="M73" s="95"/>
      <c r="N73" s="98"/>
      <c r="O73" s="28"/>
      <c r="P73" s="95"/>
      <c r="Q73" s="28"/>
      <c r="R73" s="28"/>
      <c r="S73" s="28"/>
      <c r="T73" s="28"/>
      <c r="U73" s="97"/>
      <c r="V73" s="97"/>
      <c r="W73" s="97"/>
      <c r="X73" s="97"/>
      <c r="Y73" s="97"/>
      <c r="Z73" s="97"/>
      <c r="AA73" s="97"/>
      <c r="AB73" s="97"/>
      <c r="AC73" s="97"/>
      <c r="AD73" s="97"/>
      <c r="AE73" s="28"/>
      <c r="AF73" s="95"/>
      <c r="AG73" s="95"/>
      <c r="AH73" s="95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  <c r="AV73" s="28"/>
    </row>
    <row r="74" spans="1:48" ht="12" customHeight="1" x14ac:dyDescent="0.25">
      <c r="A74" s="28"/>
      <c r="B74" s="95"/>
      <c r="C74" s="97"/>
      <c r="D74" s="97"/>
      <c r="E74" s="95"/>
      <c r="F74" s="95"/>
      <c r="G74" s="95"/>
      <c r="H74" s="28"/>
      <c r="I74" s="28"/>
      <c r="J74" s="28"/>
      <c r="K74" s="97"/>
      <c r="L74" s="98"/>
      <c r="M74" s="95"/>
      <c r="N74" s="98"/>
      <c r="O74" s="28"/>
      <c r="P74" s="95"/>
      <c r="Q74" s="28"/>
      <c r="R74" s="28"/>
      <c r="S74" s="28"/>
      <c r="T74" s="28"/>
      <c r="U74" s="97"/>
      <c r="V74" s="97"/>
      <c r="W74" s="97"/>
      <c r="X74" s="97"/>
      <c r="Y74" s="97"/>
      <c r="Z74" s="97"/>
      <c r="AA74" s="97"/>
      <c r="AB74" s="97"/>
      <c r="AC74" s="97"/>
      <c r="AD74" s="97"/>
      <c r="AE74" s="28"/>
      <c r="AF74" s="95"/>
      <c r="AG74" s="95"/>
      <c r="AH74" s="95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  <c r="AV74" s="28"/>
    </row>
    <row r="75" spans="1:48" ht="12" customHeight="1" x14ac:dyDescent="0.25">
      <c r="A75" s="28"/>
      <c r="B75" s="95"/>
      <c r="C75" s="97"/>
      <c r="D75" s="97"/>
      <c r="E75" s="95"/>
      <c r="F75" s="95"/>
      <c r="G75" s="95"/>
      <c r="H75" s="28"/>
      <c r="I75" s="28"/>
      <c r="J75" s="28"/>
      <c r="K75" s="97"/>
      <c r="L75" s="98"/>
      <c r="M75" s="95"/>
      <c r="N75" s="98"/>
      <c r="O75" s="28"/>
      <c r="P75" s="95"/>
      <c r="Q75" s="28"/>
      <c r="R75" s="28"/>
      <c r="S75" s="28"/>
      <c r="T75" s="28"/>
      <c r="U75" s="97"/>
      <c r="V75" s="97"/>
      <c r="W75" s="97"/>
      <c r="X75" s="97"/>
      <c r="Y75" s="97"/>
      <c r="Z75" s="97"/>
      <c r="AA75" s="97"/>
      <c r="AB75" s="97"/>
      <c r="AC75" s="97"/>
      <c r="AD75" s="97"/>
      <c r="AE75" s="28"/>
      <c r="AF75" s="95"/>
      <c r="AG75" s="95"/>
      <c r="AH75" s="95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  <c r="AV75" s="28"/>
    </row>
    <row r="76" spans="1:48" ht="12" customHeight="1" x14ac:dyDescent="0.25">
      <c r="A76" s="28"/>
      <c r="B76" s="95"/>
      <c r="C76" s="97"/>
      <c r="D76" s="97"/>
      <c r="E76" s="95"/>
      <c r="F76" s="95"/>
      <c r="G76" s="95"/>
      <c r="H76" s="28"/>
      <c r="I76" s="28"/>
      <c r="J76" s="28"/>
      <c r="K76" s="97"/>
      <c r="L76" s="98"/>
      <c r="M76" s="95"/>
      <c r="N76" s="98"/>
      <c r="O76" s="28"/>
      <c r="P76" s="95"/>
      <c r="Q76" s="28"/>
      <c r="R76" s="28"/>
      <c r="S76" s="28"/>
      <c r="T76" s="28"/>
      <c r="U76" s="97"/>
      <c r="V76" s="97"/>
      <c r="W76" s="97"/>
      <c r="X76" s="97"/>
      <c r="Y76" s="97"/>
      <c r="Z76" s="97"/>
      <c r="AA76" s="97"/>
      <c r="AB76" s="97"/>
      <c r="AC76" s="97"/>
      <c r="AD76" s="97"/>
      <c r="AE76" s="28"/>
      <c r="AF76" s="95"/>
      <c r="AG76" s="95"/>
      <c r="AH76" s="95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  <c r="AV76" s="28"/>
    </row>
    <row r="77" spans="1:48" ht="12" customHeight="1" x14ac:dyDescent="0.25">
      <c r="A77" s="28"/>
      <c r="B77" s="95"/>
      <c r="C77" s="97"/>
      <c r="D77" s="97"/>
      <c r="E77" s="95"/>
      <c r="F77" s="95"/>
      <c r="G77" s="95"/>
      <c r="H77" s="28"/>
      <c r="I77" s="28"/>
      <c r="J77" s="28"/>
      <c r="K77" s="97"/>
      <c r="L77" s="98"/>
      <c r="M77" s="95"/>
      <c r="N77" s="98"/>
      <c r="O77" s="28"/>
      <c r="P77" s="95"/>
      <c r="Q77" s="28"/>
      <c r="R77" s="28"/>
      <c r="S77" s="28"/>
      <c r="T77" s="28"/>
      <c r="U77" s="97"/>
      <c r="V77" s="97"/>
      <c r="W77" s="97"/>
      <c r="X77" s="97"/>
      <c r="Y77" s="97"/>
      <c r="Z77" s="97"/>
      <c r="AA77" s="97"/>
      <c r="AB77" s="97"/>
      <c r="AC77" s="97"/>
      <c r="AD77" s="97"/>
      <c r="AE77" s="28"/>
      <c r="AF77" s="95"/>
      <c r="AG77" s="95"/>
      <c r="AH77" s="95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  <c r="AV77" s="28"/>
    </row>
    <row r="78" spans="1:48" ht="12" customHeight="1" x14ac:dyDescent="0.25">
      <c r="A78" s="28"/>
      <c r="B78" s="95"/>
      <c r="C78" s="97"/>
      <c r="D78" s="97"/>
      <c r="E78" s="95"/>
      <c r="F78" s="95"/>
      <c r="G78" s="95"/>
      <c r="H78" s="28"/>
      <c r="I78" s="28"/>
      <c r="J78" s="28"/>
      <c r="K78" s="97"/>
      <c r="L78" s="98"/>
      <c r="M78" s="95"/>
      <c r="N78" s="98"/>
      <c r="O78" s="28"/>
      <c r="P78" s="95"/>
      <c r="Q78" s="28"/>
      <c r="R78" s="28"/>
      <c r="S78" s="28"/>
      <c r="T78" s="28"/>
      <c r="U78" s="97"/>
      <c r="V78" s="97"/>
      <c r="W78" s="97"/>
      <c r="X78" s="97"/>
      <c r="Y78" s="97"/>
      <c r="Z78" s="97"/>
      <c r="AA78" s="97"/>
      <c r="AB78" s="97"/>
      <c r="AC78" s="97"/>
      <c r="AD78" s="97"/>
      <c r="AE78" s="28"/>
      <c r="AF78" s="95"/>
      <c r="AG78" s="95"/>
      <c r="AH78" s="95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  <c r="AV78" s="28"/>
    </row>
    <row r="79" spans="1:48" ht="12" customHeight="1" x14ac:dyDescent="0.25">
      <c r="A79" s="28"/>
      <c r="B79" s="95"/>
      <c r="C79" s="97"/>
      <c r="D79" s="97"/>
      <c r="E79" s="95"/>
      <c r="F79" s="95"/>
      <c r="G79" s="95"/>
      <c r="H79" s="28"/>
      <c r="I79" s="28"/>
      <c r="J79" s="28"/>
      <c r="K79" s="97"/>
      <c r="L79" s="98"/>
      <c r="M79" s="95"/>
      <c r="N79" s="98"/>
      <c r="O79" s="28"/>
      <c r="P79" s="95"/>
      <c r="Q79" s="28"/>
      <c r="R79" s="28"/>
      <c r="S79" s="28"/>
      <c r="T79" s="28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28"/>
      <c r="AF79" s="95"/>
      <c r="AG79" s="95"/>
      <c r="AH79" s="95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  <c r="AV79" s="28"/>
    </row>
    <row r="80" spans="1:48" ht="12" customHeight="1" x14ac:dyDescent="0.25">
      <c r="A80" s="28"/>
      <c r="B80" s="95"/>
      <c r="C80" s="97"/>
      <c r="D80" s="97"/>
      <c r="E80" s="95"/>
      <c r="F80" s="95"/>
      <c r="G80" s="95"/>
      <c r="H80" s="28"/>
      <c r="I80" s="28"/>
      <c r="J80" s="28"/>
      <c r="K80" s="97"/>
      <c r="L80" s="98"/>
      <c r="M80" s="95"/>
      <c r="N80" s="98"/>
      <c r="O80" s="28"/>
      <c r="P80" s="95"/>
      <c r="Q80" s="28"/>
      <c r="R80" s="28"/>
      <c r="S80" s="28"/>
      <c r="T80" s="28"/>
      <c r="U80" s="97"/>
      <c r="V80" s="97"/>
      <c r="W80" s="97"/>
      <c r="X80" s="97"/>
      <c r="Y80" s="97"/>
      <c r="Z80" s="97"/>
      <c r="AA80" s="97"/>
      <c r="AB80" s="97"/>
      <c r="AC80" s="97"/>
      <c r="AD80" s="97"/>
      <c r="AE80" s="28"/>
      <c r="AF80" s="95"/>
      <c r="AG80" s="95"/>
      <c r="AH80" s="95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  <c r="AV80" s="28"/>
    </row>
    <row r="81" spans="1:48" ht="12" customHeight="1" x14ac:dyDescent="0.25">
      <c r="A81" s="28"/>
      <c r="B81" s="95"/>
      <c r="C81" s="97"/>
      <c r="D81" s="97"/>
      <c r="E81" s="95"/>
      <c r="F81" s="95"/>
      <c r="G81" s="95"/>
      <c r="H81" s="28"/>
      <c r="I81" s="28"/>
      <c r="J81" s="28"/>
      <c r="K81" s="97"/>
      <c r="L81" s="98"/>
      <c r="M81" s="95"/>
      <c r="N81" s="98"/>
      <c r="O81" s="28"/>
      <c r="P81" s="95"/>
      <c r="Q81" s="28"/>
      <c r="R81" s="28"/>
      <c r="S81" s="28"/>
      <c r="T81" s="28"/>
      <c r="U81" s="97"/>
      <c r="V81" s="97"/>
      <c r="W81" s="97"/>
      <c r="X81" s="97"/>
      <c r="Y81" s="97"/>
      <c r="Z81" s="97"/>
      <c r="AA81" s="97"/>
      <c r="AB81" s="97"/>
      <c r="AC81" s="97"/>
      <c r="AD81" s="97"/>
      <c r="AE81" s="28"/>
      <c r="AF81" s="95"/>
      <c r="AG81" s="95"/>
      <c r="AH81" s="95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  <c r="AV81" s="28"/>
    </row>
    <row r="82" spans="1:48" ht="12" customHeight="1" x14ac:dyDescent="0.25">
      <c r="A82" s="28"/>
      <c r="B82" s="95"/>
      <c r="C82" s="97"/>
      <c r="D82" s="97"/>
      <c r="E82" s="95"/>
      <c r="F82" s="95"/>
      <c r="G82" s="95"/>
      <c r="H82" s="28"/>
      <c r="I82" s="28"/>
      <c r="J82" s="28"/>
      <c r="K82" s="97"/>
      <c r="L82" s="98"/>
      <c r="M82" s="95"/>
      <c r="N82" s="98"/>
      <c r="O82" s="28"/>
      <c r="P82" s="95"/>
      <c r="Q82" s="28"/>
      <c r="R82" s="28"/>
      <c r="S82" s="28"/>
      <c r="T82" s="28"/>
      <c r="U82" s="97"/>
      <c r="V82" s="97"/>
      <c r="W82" s="97"/>
      <c r="X82" s="97"/>
      <c r="Y82" s="97"/>
      <c r="Z82" s="97"/>
      <c r="AA82" s="97"/>
      <c r="AB82" s="97"/>
      <c r="AC82" s="97"/>
      <c r="AD82" s="97"/>
      <c r="AE82" s="28"/>
      <c r="AF82" s="95"/>
      <c r="AG82" s="95"/>
      <c r="AH82" s="95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  <c r="AV82" s="28"/>
    </row>
    <row r="83" spans="1:48" ht="12" customHeight="1" x14ac:dyDescent="0.25">
      <c r="A83" s="28"/>
      <c r="B83" s="95"/>
      <c r="C83" s="97"/>
      <c r="D83" s="97"/>
      <c r="E83" s="95"/>
      <c r="F83" s="95"/>
      <c r="G83" s="95"/>
      <c r="H83" s="28"/>
      <c r="I83" s="28"/>
      <c r="J83" s="28"/>
      <c r="K83" s="97"/>
      <c r="L83" s="98"/>
      <c r="M83" s="95"/>
      <c r="N83" s="98"/>
      <c r="O83" s="28"/>
      <c r="P83" s="95"/>
      <c r="Q83" s="28"/>
      <c r="R83" s="28"/>
      <c r="S83" s="28"/>
      <c r="T83" s="28"/>
      <c r="U83" s="97"/>
      <c r="V83" s="97"/>
      <c r="W83" s="97"/>
      <c r="X83" s="97"/>
      <c r="Y83" s="97"/>
      <c r="Z83" s="97"/>
      <c r="AA83" s="97"/>
      <c r="AB83" s="97"/>
      <c r="AC83" s="97"/>
      <c r="AD83" s="97"/>
      <c r="AE83" s="28"/>
      <c r="AF83" s="95"/>
      <c r="AG83" s="95"/>
      <c r="AH83" s="95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  <c r="AV83" s="28"/>
    </row>
    <row r="84" spans="1:48" ht="12" customHeight="1" x14ac:dyDescent="0.25">
      <c r="A84" s="28"/>
      <c r="B84" s="95"/>
      <c r="C84" s="97"/>
      <c r="D84" s="97"/>
      <c r="E84" s="95"/>
      <c r="F84" s="95"/>
      <c r="G84" s="95"/>
      <c r="H84" s="28"/>
      <c r="I84" s="28"/>
      <c r="J84" s="28"/>
      <c r="K84" s="97"/>
      <c r="L84" s="98"/>
      <c r="M84" s="95"/>
      <c r="N84" s="98"/>
      <c r="O84" s="28"/>
      <c r="P84" s="95"/>
      <c r="Q84" s="28"/>
      <c r="R84" s="28"/>
      <c r="S84" s="28"/>
      <c r="T84" s="28"/>
      <c r="U84" s="97"/>
      <c r="V84" s="97"/>
      <c r="W84" s="97"/>
      <c r="X84" s="97"/>
      <c r="Y84" s="97"/>
      <c r="Z84" s="97"/>
      <c r="AA84" s="97"/>
      <c r="AB84" s="97"/>
      <c r="AC84" s="97"/>
      <c r="AD84" s="97"/>
      <c r="AE84" s="28"/>
      <c r="AF84" s="95"/>
      <c r="AG84" s="95"/>
      <c r="AH84" s="95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  <c r="AV84" s="28"/>
    </row>
    <row r="85" spans="1:48" ht="12" customHeight="1" x14ac:dyDescent="0.25">
      <c r="A85" s="28"/>
      <c r="B85" s="95"/>
      <c r="C85" s="97"/>
      <c r="D85" s="97"/>
      <c r="E85" s="95"/>
      <c r="F85" s="95"/>
      <c r="G85" s="95"/>
      <c r="H85" s="28"/>
      <c r="I85" s="28"/>
      <c r="J85" s="28"/>
      <c r="K85" s="97"/>
      <c r="L85" s="98"/>
      <c r="M85" s="95"/>
      <c r="N85" s="98"/>
      <c r="O85" s="28"/>
      <c r="P85" s="95"/>
      <c r="Q85" s="28"/>
      <c r="R85" s="28"/>
      <c r="S85" s="28"/>
      <c r="T85" s="28"/>
      <c r="U85" s="97"/>
      <c r="V85" s="97"/>
      <c r="W85" s="97"/>
      <c r="X85" s="97"/>
      <c r="Y85" s="97"/>
      <c r="Z85" s="97"/>
      <c r="AA85" s="97"/>
      <c r="AB85" s="97"/>
      <c r="AC85" s="97"/>
      <c r="AD85" s="97"/>
      <c r="AE85" s="28"/>
      <c r="AF85" s="95"/>
      <c r="AG85" s="95"/>
      <c r="AH85" s="95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  <c r="AV85" s="28"/>
    </row>
    <row r="86" spans="1:48" ht="12" customHeight="1" x14ac:dyDescent="0.25">
      <c r="A86" s="28"/>
      <c r="B86" s="95"/>
      <c r="C86" s="97"/>
      <c r="D86" s="97"/>
      <c r="E86" s="95"/>
      <c r="F86" s="95"/>
      <c r="G86" s="95"/>
      <c r="H86" s="28"/>
      <c r="I86" s="28"/>
      <c r="J86" s="28"/>
      <c r="K86" s="97"/>
      <c r="L86" s="98"/>
      <c r="M86" s="95"/>
      <c r="N86" s="98"/>
      <c r="O86" s="28"/>
      <c r="P86" s="95"/>
      <c r="Q86" s="28"/>
      <c r="R86" s="28"/>
      <c r="S86" s="28"/>
      <c r="T86" s="28"/>
      <c r="U86" s="97"/>
      <c r="V86" s="97"/>
      <c r="W86" s="97"/>
      <c r="X86" s="97"/>
      <c r="Y86" s="97"/>
      <c r="Z86" s="97"/>
      <c r="AA86" s="97"/>
      <c r="AB86" s="97"/>
      <c r="AC86" s="97"/>
      <c r="AD86" s="97"/>
      <c r="AE86" s="28"/>
      <c r="AF86" s="95"/>
      <c r="AG86" s="95"/>
      <c r="AH86" s="95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  <c r="AV86" s="28"/>
    </row>
    <row r="87" spans="1:48" ht="12" customHeight="1" x14ac:dyDescent="0.25">
      <c r="A87" s="28"/>
      <c r="B87" s="95"/>
      <c r="C87" s="97"/>
      <c r="D87" s="97"/>
      <c r="E87" s="95"/>
      <c r="F87" s="95"/>
      <c r="G87" s="95"/>
      <c r="H87" s="28"/>
      <c r="I87" s="28"/>
      <c r="J87" s="28"/>
      <c r="K87" s="97"/>
      <c r="L87" s="98"/>
      <c r="M87" s="95"/>
      <c r="N87" s="98"/>
      <c r="O87" s="28"/>
      <c r="P87" s="95"/>
      <c r="Q87" s="28"/>
      <c r="R87" s="28"/>
      <c r="S87" s="28"/>
      <c r="T87" s="28"/>
      <c r="U87" s="97"/>
      <c r="V87" s="97"/>
      <c r="W87" s="97"/>
      <c r="X87" s="97"/>
      <c r="Y87" s="97"/>
      <c r="Z87" s="97"/>
      <c r="AA87" s="97"/>
      <c r="AB87" s="97"/>
      <c r="AC87" s="97"/>
      <c r="AD87" s="97"/>
      <c r="AE87" s="28"/>
      <c r="AF87" s="95"/>
      <c r="AG87" s="95"/>
      <c r="AH87" s="95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  <c r="AV87" s="28"/>
    </row>
    <row r="88" spans="1:48" ht="12" customHeight="1" x14ac:dyDescent="0.25">
      <c r="A88" s="28"/>
      <c r="B88" s="95"/>
      <c r="C88" s="97"/>
      <c r="D88" s="97"/>
      <c r="E88" s="95"/>
      <c r="F88" s="95"/>
      <c r="G88" s="95"/>
      <c r="H88" s="28"/>
      <c r="I88" s="28"/>
      <c r="J88" s="28"/>
      <c r="K88" s="97"/>
      <c r="L88" s="98"/>
      <c r="M88" s="95"/>
      <c r="N88" s="98"/>
      <c r="O88" s="28"/>
      <c r="P88" s="95"/>
      <c r="Q88" s="28"/>
      <c r="R88" s="28"/>
      <c r="S88" s="28"/>
      <c r="T88" s="28"/>
      <c r="U88" s="97"/>
      <c r="V88" s="97"/>
      <c r="W88" s="97"/>
      <c r="X88" s="97"/>
      <c r="Y88" s="97"/>
      <c r="Z88" s="97"/>
      <c r="AA88" s="97"/>
      <c r="AB88" s="97"/>
      <c r="AC88" s="97"/>
      <c r="AD88" s="97"/>
      <c r="AE88" s="28"/>
      <c r="AF88" s="95"/>
      <c r="AG88" s="95"/>
      <c r="AH88" s="95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  <c r="AV88" s="28"/>
    </row>
    <row r="89" spans="1:48" ht="12" customHeight="1" x14ac:dyDescent="0.25">
      <c r="A89" s="28"/>
      <c r="B89" s="95"/>
      <c r="C89" s="97"/>
      <c r="D89" s="97"/>
      <c r="E89" s="95"/>
      <c r="F89" s="95"/>
      <c r="G89" s="95"/>
      <c r="H89" s="28"/>
      <c r="I89" s="28"/>
      <c r="J89" s="28"/>
      <c r="K89" s="97"/>
      <c r="L89" s="98"/>
      <c r="M89" s="95"/>
      <c r="N89" s="98"/>
      <c r="O89" s="28"/>
      <c r="P89" s="95"/>
      <c r="Q89" s="28"/>
      <c r="R89" s="28"/>
      <c r="S89" s="28"/>
      <c r="T89" s="28"/>
      <c r="U89" s="97"/>
      <c r="V89" s="97"/>
      <c r="W89" s="97"/>
      <c r="X89" s="97"/>
      <c r="Y89" s="97"/>
      <c r="Z89" s="97"/>
      <c r="AA89" s="97"/>
      <c r="AB89" s="97"/>
      <c r="AC89" s="97"/>
      <c r="AD89" s="97"/>
      <c r="AE89" s="28"/>
      <c r="AF89" s="95"/>
      <c r="AG89" s="95"/>
      <c r="AH89" s="95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  <c r="AV89" s="28"/>
    </row>
    <row r="90" spans="1:48" ht="12" customHeight="1" x14ac:dyDescent="0.25">
      <c r="A90" s="28"/>
      <c r="B90" s="95"/>
      <c r="C90" s="97"/>
      <c r="D90" s="97"/>
      <c r="E90" s="95"/>
      <c r="F90" s="95"/>
      <c r="G90" s="95"/>
      <c r="H90" s="28"/>
      <c r="I90" s="28"/>
      <c r="J90" s="28"/>
      <c r="K90" s="97"/>
      <c r="L90" s="98"/>
      <c r="M90" s="95"/>
      <c r="N90" s="98"/>
      <c r="O90" s="28"/>
      <c r="P90" s="95"/>
      <c r="Q90" s="28"/>
      <c r="R90" s="28"/>
      <c r="S90" s="28"/>
      <c r="T90" s="28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28"/>
      <c r="AF90" s="95"/>
      <c r="AG90" s="95"/>
      <c r="AH90" s="95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  <c r="AV90" s="28"/>
    </row>
    <row r="91" spans="1:48" ht="12" customHeight="1" x14ac:dyDescent="0.25">
      <c r="A91" s="28"/>
      <c r="B91" s="95"/>
      <c r="C91" s="97"/>
      <c r="D91" s="97"/>
      <c r="E91" s="95"/>
      <c r="F91" s="95"/>
      <c r="G91" s="95"/>
      <c r="H91" s="28"/>
      <c r="I91" s="28"/>
      <c r="J91" s="28"/>
      <c r="K91" s="97"/>
      <c r="L91" s="98"/>
      <c r="M91" s="95"/>
      <c r="N91" s="98"/>
      <c r="O91" s="28"/>
      <c r="P91" s="95"/>
      <c r="Q91" s="28"/>
      <c r="R91" s="28"/>
      <c r="S91" s="28"/>
      <c r="T91" s="28"/>
      <c r="U91" s="97"/>
      <c r="V91" s="97"/>
      <c r="W91" s="97"/>
      <c r="X91" s="97"/>
      <c r="Y91" s="97"/>
      <c r="Z91" s="97"/>
      <c r="AA91" s="97"/>
      <c r="AB91" s="97"/>
      <c r="AC91" s="97"/>
      <c r="AD91" s="97"/>
      <c r="AE91" s="28"/>
      <c r="AF91" s="95"/>
      <c r="AG91" s="95"/>
      <c r="AH91" s="95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  <c r="AV91" s="28"/>
    </row>
    <row r="92" spans="1:48" ht="12" customHeight="1" x14ac:dyDescent="0.25">
      <c r="A92" s="28"/>
      <c r="B92" s="95"/>
      <c r="C92" s="97"/>
      <c r="D92" s="97"/>
      <c r="E92" s="95"/>
      <c r="F92" s="95"/>
      <c r="G92" s="95"/>
      <c r="H92" s="28"/>
      <c r="I92" s="28"/>
      <c r="J92" s="28"/>
      <c r="K92" s="97"/>
      <c r="L92" s="98"/>
      <c r="M92" s="95"/>
      <c r="N92" s="98"/>
      <c r="O92" s="28"/>
      <c r="P92" s="95"/>
      <c r="Q92" s="28"/>
      <c r="R92" s="28"/>
      <c r="S92" s="28"/>
      <c r="T92" s="28"/>
      <c r="U92" s="97"/>
      <c r="V92" s="97"/>
      <c r="W92" s="97"/>
      <c r="X92" s="97"/>
      <c r="Y92" s="97"/>
      <c r="Z92" s="97"/>
      <c r="AA92" s="97"/>
      <c r="AB92" s="97"/>
      <c r="AC92" s="97"/>
      <c r="AD92" s="97"/>
      <c r="AE92" s="28"/>
      <c r="AF92" s="95"/>
      <c r="AG92" s="95"/>
      <c r="AH92" s="95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  <c r="AV92" s="28"/>
    </row>
    <row r="93" spans="1:48" ht="12" customHeight="1" x14ac:dyDescent="0.25">
      <c r="A93" s="28"/>
      <c r="B93" s="95"/>
      <c r="C93" s="97"/>
      <c r="D93" s="97"/>
      <c r="E93" s="95"/>
      <c r="F93" s="95"/>
      <c r="G93" s="95"/>
      <c r="H93" s="28"/>
      <c r="I93" s="28"/>
      <c r="J93" s="28"/>
      <c r="K93" s="97"/>
      <c r="L93" s="98"/>
      <c r="M93" s="95"/>
      <c r="N93" s="98"/>
      <c r="O93" s="28"/>
      <c r="P93" s="95"/>
      <c r="Q93" s="28"/>
      <c r="R93" s="28"/>
      <c r="S93" s="28"/>
      <c r="T93" s="28"/>
      <c r="U93" s="97"/>
      <c r="V93" s="97"/>
      <c r="W93" s="97"/>
      <c r="X93" s="97"/>
      <c r="Y93" s="97"/>
      <c r="Z93" s="97"/>
      <c r="AA93" s="97"/>
      <c r="AB93" s="97"/>
      <c r="AC93" s="97"/>
      <c r="AD93" s="97"/>
      <c r="AE93" s="28"/>
      <c r="AF93" s="95"/>
      <c r="AG93" s="95"/>
      <c r="AH93" s="95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  <c r="AV93" s="28"/>
    </row>
    <row r="94" spans="1:48" ht="12" customHeight="1" x14ac:dyDescent="0.25">
      <c r="A94" s="28"/>
      <c r="B94" s="95"/>
      <c r="C94" s="97"/>
      <c r="D94" s="97"/>
      <c r="E94" s="95"/>
      <c r="F94" s="95"/>
      <c r="G94" s="95"/>
      <c r="H94" s="28"/>
      <c r="I94" s="28"/>
      <c r="J94" s="28"/>
      <c r="K94" s="97"/>
      <c r="L94" s="98"/>
      <c r="M94" s="95"/>
      <c r="N94" s="98"/>
      <c r="O94" s="28"/>
      <c r="P94" s="95"/>
      <c r="Q94" s="28"/>
      <c r="R94" s="28"/>
      <c r="S94" s="28"/>
      <c r="T94" s="28"/>
      <c r="U94" s="97"/>
      <c r="V94" s="97"/>
      <c r="W94" s="97"/>
      <c r="X94" s="97"/>
      <c r="Y94" s="97"/>
      <c r="Z94" s="97"/>
      <c r="AA94" s="97"/>
      <c r="AB94" s="97"/>
      <c r="AC94" s="97"/>
      <c r="AD94" s="97"/>
      <c r="AE94" s="28"/>
      <c r="AF94" s="95"/>
      <c r="AG94" s="95"/>
      <c r="AH94" s="95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  <c r="AV94" s="28"/>
    </row>
    <row r="95" spans="1:48" ht="12" customHeight="1" x14ac:dyDescent="0.25">
      <c r="A95" s="28"/>
      <c r="B95" s="95"/>
      <c r="C95" s="97"/>
      <c r="D95" s="97"/>
      <c r="E95" s="95"/>
      <c r="F95" s="95"/>
      <c r="G95" s="95"/>
      <c r="H95" s="28"/>
      <c r="I95" s="28"/>
      <c r="J95" s="28"/>
      <c r="K95" s="97"/>
      <c r="L95" s="98"/>
      <c r="M95" s="95"/>
      <c r="N95" s="98"/>
      <c r="O95" s="28"/>
      <c r="P95" s="95"/>
      <c r="Q95" s="28"/>
      <c r="R95" s="28"/>
      <c r="S95" s="28"/>
      <c r="T95" s="28"/>
      <c r="U95" s="97"/>
      <c r="V95" s="97"/>
      <c r="W95" s="97"/>
      <c r="X95" s="97"/>
      <c r="Y95" s="97"/>
      <c r="Z95" s="97"/>
      <c r="AA95" s="97"/>
      <c r="AB95" s="97"/>
      <c r="AC95" s="97"/>
      <c r="AD95" s="97"/>
      <c r="AE95" s="28"/>
      <c r="AF95" s="95"/>
      <c r="AG95" s="95"/>
      <c r="AH95" s="95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  <c r="AV95" s="28"/>
    </row>
    <row r="96" spans="1:48" ht="12" customHeight="1" x14ac:dyDescent="0.25">
      <c r="A96" s="28"/>
      <c r="B96" s="95"/>
      <c r="C96" s="97"/>
      <c r="D96" s="97"/>
      <c r="E96" s="95"/>
      <c r="F96" s="95"/>
      <c r="G96" s="95"/>
      <c r="H96" s="28"/>
      <c r="I96" s="28"/>
      <c r="J96" s="28"/>
      <c r="K96" s="97"/>
      <c r="L96" s="98"/>
      <c r="M96" s="95"/>
      <c r="N96" s="98"/>
      <c r="O96" s="28"/>
      <c r="P96" s="95"/>
      <c r="Q96" s="28"/>
      <c r="R96" s="28"/>
      <c r="S96" s="28"/>
      <c r="T96" s="28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28"/>
      <c r="AF96" s="95"/>
      <c r="AG96" s="95"/>
      <c r="AH96" s="95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  <c r="AV96" s="28"/>
    </row>
    <row r="97" spans="1:48" ht="12" customHeight="1" x14ac:dyDescent="0.25">
      <c r="A97" s="28"/>
      <c r="B97" s="95"/>
      <c r="C97" s="97"/>
      <c r="D97" s="97"/>
      <c r="E97" s="95"/>
      <c r="F97" s="95"/>
      <c r="G97" s="95"/>
      <c r="H97" s="28"/>
      <c r="I97" s="28"/>
      <c r="J97" s="28"/>
      <c r="K97" s="97"/>
      <c r="L97" s="98"/>
      <c r="M97" s="95"/>
      <c r="N97" s="98"/>
      <c r="O97" s="28"/>
      <c r="P97" s="95"/>
      <c r="Q97" s="28"/>
      <c r="R97" s="28"/>
      <c r="S97" s="28"/>
      <c r="T97" s="28"/>
      <c r="U97" s="97"/>
      <c r="V97" s="97"/>
      <c r="W97" s="97"/>
      <c r="X97" s="97"/>
      <c r="Y97" s="97"/>
      <c r="Z97" s="97"/>
      <c r="AA97" s="97"/>
      <c r="AB97" s="97"/>
      <c r="AC97" s="97"/>
      <c r="AD97" s="97"/>
      <c r="AE97" s="28"/>
      <c r="AF97" s="95"/>
      <c r="AG97" s="95"/>
      <c r="AH97" s="95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  <c r="AV97" s="28"/>
    </row>
    <row r="98" spans="1:48" ht="12" customHeight="1" x14ac:dyDescent="0.25">
      <c r="A98" s="28"/>
      <c r="B98" s="95"/>
      <c r="C98" s="97"/>
      <c r="D98" s="97"/>
      <c r="E98" s="95"/>
      <c r="F98" s="95"/>
      <c r="G98" s="95"/>
      <c r="H98" s="28"/>
      <c r="I98" s="28"/>
      <c r="J98" s="28"/>
      <c r="K98" s="97"/>
      <c r="L98" s="98"/>
      <c r="M98" s="95"/>
      <c r="N98" s="98"/>
      <c r="O98" s="28"/>
      <c r="P98" s="95"/>
      <c r="Q98" s="28"/>
      <c r="R98" s="28"/>
      <c r="S98" s="28"/>
      <c r="T98" s="28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28"/>
      <c r="AF98" s="95"/>
      <c r="AG98" s="95"/>
      <c r="AH98" s="95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  <c r="AV98" s="28"/>
    </row>
    <row r="99" spans="1:48" ht="12" customHeight="1" x14ac:dyDescent="0.25">
      <c r="A99" s="28"/>
      <c r="B99" s="95"/>
      <c r="C99" s="97"/>
      <c r="D99" s="97"/>
      <c r="E99" s="95"/>
      <c r="F99" s="95"/>
      <c r="G99" s="95"/>
      <c r="H99" s="28"/>
      <c r="I99" s="28"/>
      <c r="J99" s="28"/>
      <c r="K99" s="97"/>
      <c r="L99" s="98"/>
      <c r="M99" s="95"/>
      <c r="N99" s="98"/>
      <c r="O99" s="28"/>
      <c r="P99" s="95"/>
      <c r="Q99" s="28"/>
      <c r="R99" s="28"/>
      <c r="S99" s="28"/>
      <c r="T99" s="28"/>
      <c r="U99" s="97"/>
      <c r="V99" s="97"/>
      <c r="W99" s="97"/>
      <c r="X99" s="97"/>
      <c r="Y99" s="97"/>
      <c r="Z99" s="97"/>
      <c r="AA99" s="97"/>
      <c r="AB99" s="97"/>
      <c r="AC99" s="97"/>
      <c r="AD99" s="97"/>
      <c r="AE99" s="28"/>
      <c r="AF99" s="95"/>
      <c r="AG99" s="95"/>
      <c r="AH99" s="95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  <c r="AV99" s="28"/>
    </row>
    <row r="100" spans="1:48" ht="12" customHeight="1" x14ac:dyDescent="0.25">
      <c r="A100" s="28"/>
      <c r="B100" s="95"/>
      <c r="C100" s="97"/>
      <c r="D100" s="97"/>
      <c r="E100" s="95"/>
      <c r="F100" s="95"/>
      <c r="G100" s="95"/>
      <c r="H100" s="28"/>
      <c r="I100" s="28"/>
      <c r="J100" s="28"/>
      <c r="K100" s="97"/>
      <c r="L100" s="98"/>
      <c r="M100" s="95"/>
      <c r="N100" s="98"/>
      <c r="O100" s="28"/>
      <c r="P100" s="95"/>
      <c r="Q100" s="28"/>
      <c r="R100" s="28"/>
      <c r="S100" s="28"/>
      <c r="T100" s="28"/>
      <c r="U100" s="97"/>
      <c r="V100" s="97"/>
      <c r="W100" s="97"/>
      <c r="X100" s="97"/>
      <c r="Y100" s="97"/>
      <c r="Z100" s="97"/>
      <c r="AA100" s="97"/>
      <c r="AB100" s="97"/>
      <c r="AC100" s="97"/>
      <c r="AD100" s="97"/>
      <c r="AE100" s="28"/>
      <c r="AF100" s="95"/>
      <c r="AG100" s="95"/>
      <c r="AH100" s="95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  <c r="AV100" s="28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40"/>
      <c r="B1" s="341"/>
      <c r="C1" s="341"/>
      <c r="D1" s="342"/>
      <c r="E1" s="343"/>
      <c r="F1" s="344"/>
      <c r="G1" s="344"/>
      <c r="H1" s="344"/>
      <c r="I1" s="344"/>
      <c r="J1" s="345"/>
      <c r="K1" s="345"/>
      <c r="L1" s="344"/>
      <c r="M1" s="344"/>
      <c r="N1" s="344"/>
      <c r="O1" s="344"/>
      <c r="P1" s="344"/>
      <c r="Q1" s="344"/>
      <c r="R1" s="344"/>
      <c r="S1" s="344"/>
    </row>
    <row r="2" spans="1:19" ht="29.25" customHeight="1" x14ac:dyDescent="0.25">
      <c r="A2" s="346" t="s">
        <v>95</v>
      </c>
      <c r="B2" s="347" t="s">
        <v>4</v>
      </c>
      <c r="C2" s="348" t="s">
        <v>188</v>
      </c>
      <c r="D2" s="348" t="s">
        <v>17</v>
      </c>
      <c r="E2" s="348" t="s">
        <v>18</v>
      </c>
      <c r="F2" s="349" t="s">
        <v>189</v>
      </c>
      <c r="G2" s="349" t="s">
        <v>190</v>
      </c>
      <c r="H2" s="349" t="s">
        <v>191</v>
      </c>
      <c r="I2" s="349" t="s">
        <v>192</v>
      </c>
      <c r="J2" s="348" t="s">
        <v>193</v>
      </c>
      <c r="K2" s="348" t="s">
        <v>194</v>
      </c>
      <c r="L2" s="348" t="s">
        <v>195</v>
      </c>
      <c r="M2" s="348" t="s">
        <v>196</v>
      </c>
      <c r="N2" s="348" t="s">
        <v>197</v>
      </c>
      <c r="O2" s="348" t="s">
        <v>198</v>
      </c>
      <c r="P2" s="348" t="s">
        <v>106</v>
      </c>
      <c r="Q2" s="348" t="s">
        <v>199</v>
      </c>
      <c r="R2" s="348" t="s">
        <v>200</v>
      </c>
      <c r="S2" s="348" t="s">
        <v>201</v>
      </c>
    </row>
    <row r="3" spans="1:19" ht="70.5" customHeight="1" x14ac:dyDescent="0.25">
      <c r="A3" s="350" t="str">
        <f>IMPORT!A4</f>
        <v>ACBD</v>
      </c>
      <c r="B3" s="351" t="str">
        <f>IMPORT!B4</f>
        <v>Turkey</v>
      </c>
      <c r="C3" s="352" t="s">
        <v>202</v>
      </c>
      <c r="D3" s="353" t="str">
        <f>IMPORT!O4</f>
        <v>API2024000000087</v>
      </c>
      <c r="E3" s="354">
        <f>IMPORT!P4</f>
        <v>45309</v>
      </c>
      <c r="F3" s="355">
        <v>45310</v>
      </c>
      <c r="G3" s="356" t="s">
        <v>203</v>
      </c>
      <c r="H3" s="355" t="s">
        <v>144</v>
      </c>
      <c r="I3" s="357">
        <f>IF(ISBLANK('Follow up'!$F3),"-",'Follow up'!$F3+3)</f>
        <v>45313</v>
      </c>
      <c r="J3" s="358" t="s">
        <v>204</v>
      </c>
      <c r="K3" s="355">
        <v>45313</v>
      </c>
      <c r="L3" s="355">
        <v>45314</v>
      </c>
      <c r="M3" s="355"/>
      <c r="N3" s="355"/>
      <c r="O3" s="355">
        <v>45316</v>
      </c>
      <c r="P3" s="359">
        <v>45316</v>
      </c>
      <c r="Q3" s="360" t="s">
        <v>205</v>
      </c>
      <c r="R3" s="361">
        <v>7676014</v>
      </c>
      <c r="S3" s="362"/>
    </row>
    <row r="4" spans="1:19" ht="58.5" customHeight="1" x14ac:dyDescent="0.25">
      <c r="A4" s="350" t="str">
        <f>IMPORT!A5</f>
        <v>DMAG</v>
      </c>
      <c r="B4" s="351" t="str">
        <f>IMPORT!B5</f>
        <v>Italy</v>
      </c>
      <c r="C4" s="352" t="s">
        <v>206</v>
      </c>
      <c r="D4" s="353" t="str">
        <f>IMPORT!O5</f>
        <v>ITS2024000000003</v>
      </c>
      <c r="E4" s="354">
        <f>IMPORT!P5</f>
        <v>45314</v>
      </c>
      <c r="F4" s="355">
        <v>45317</v>
      </c>
      <c r="G4" s="355">
        <v>45317</v>
      </c>
      <c r="H4" s="355" t="s">
        <v>144</v>
      </c>
      <c r="I4" s="357">
        <f>IF(ISBLANK('Follow up'!$F4),"-",'Follow up'!$F4+3)</f>
        <v>45320</v>
      </c>
      <c r="J4" s="358" t="s">
        <v>207</v>
      </c>
      <c r="K4" s="355">
        <v>45318</v>
      </c>
      <c r="L4" s="355">
        <v>45318</v>
      </c>
      <c r="M4" s="355">
        <v>45318</v>
      </c>
      <c r="N4" s="355">
        <v>45318</v>
      </c>
      <c r="O4" s="363">
        <v>45320</v>
      </c>
      <c r="P4" s="359">
        <v>45322</v>
      </c>
      <c r="Q4" s="360" t="s">
        <v>208</v>
      </c>
      <c r="R4" s="361">
        <v>4462366</v>
      </c>
      <c r="S4" s="362"/>
    </row>
    <row r="5" spans="1:19" ht="27.75" customHeight="1" x14ac:dyDescent="0.25">
      <c r="A5" s="350"/>
      <c r="B5" s="351"/>
      <c r="C5" s="352"/>
      <c r="D5" s="353"/>
      <c r="E5" s="354"/>
      <c r="F5" s="355"/>
      <c r="G5" s="355"/>
      <c r="H5" s="364"/>
      <c r="I5" s="355" t="str">
        <f>IF(ISBLANK('Follow up'!$F5),"-",'Follow up'!$F5+3)</f>
        <v>-</v>
      </c>
      <c r="J5" s="365"/>
      <c r="K5" s="355"/>
      <c r="L5" s="355"/>
      <c r="M5" s="355"/>
      <c r="N5" s="355"/>
      <c r="O5" s="355"/>
      <c r="P5" s="355"/>
      <c r="Q5" s="366"/>
      <c r="R5" s="361"/>
      <c r="S5" s="367"/>
    </row>
    <row r="6" spans="1:19" ht="27.75" customHeight="1" x14ac:dyDescent="0.25">
      <c r="A6" s="350"/>
      <c r="B6" s="351"/>
      <c r="C6" s="352"/>
      <c r="D6" s="353"/>
      <c r="E6" s="354"/>
      <c r="F6" s="355"/>
      <c r="G6" s="355"/>
      <c r="H6" s="364"/>
      <c r="I6" s="355" t="str">
        <f>IF(ISBLANK('Follow up'!$F6),"-",'Follow up'!$F6+3)</f>
        <v>-</v>
      </c>
      <c r="J6" s="365"/>
      <c r="K6" s="355"/>
      <c r="L6" s="355"/>
      <c r="M6" s="355"/>
      <c r="N6" s="355"/>
      <c r="O6" s="355"/>
      <c r="P6" s="355"/>
      <c r="Q6" s="366"/>
      <c r="R6" s="361"/>
      <c r="S6" s="367"/>
    </row>
    <row r="7" spans="1:19" ht="20.25" customHeight="1" x14ac:dyDescent="0.25">
      <c r="A7" s="350"/>
      <c r="B7" s="351"/>
      <c r="C7" s="352"/>
      <c r="D7" s="353"/>
      <c r="E7" s="354"/>
      <c r="F7" s="355"/>
      <c r="G7" s="355"/>
      <c r="H7" s="364"/>
      <c r="I7" s="355" t="str">
        <f>IF(ISBLANK('Follow up'!$F7),"-",'Follow up'!$F7+3)</f>
        <v>-</v>
      </c>
      <c r="J7" s="365"/>
      <c r="K7" s="355"/>
      <c r="L7" s="355"/>
      <c r="M7" s="355"/>
      <c r="N7" s="355"/>
      <c r="O7" s="355"/>
      <c r="P7" s="355"/>
      <c r="Q7" s="366"/>
      <c r="R7" s="361"/>
      <c r="S7" s="367"/>
    </row>
    <row r="8" spans="1:19" ht="20.25" customHeight="1" x14ac:dyDescent="0.25">
      <c r="A8" s="350"/>
      <c r="B8" s="351"/>
      <c r="C8" s="352"/>
      <c r="D8" s="353"/>
      <c r="E8" s="354"/>
      <c r="F8" s="355"/>
      <c r="G8" s="355"/>
      <c r="H8" s="364"/>
      <c r="I8" s="355" t="str">
        <f>IF(ISBLANK('Follow up'!$F8),"-",'Follow up'!$F8+3)</f>
        <v>-</v>
      </c>
      <c r="J8" s="365"/>
      <c r="K8" s="355"/>
      <c r="L8" s="355"/>
      <c r="M8" s="355"/>
      <c r="N8" s="355"/>
      <c r="O8" s="355"/>
      <c r="P8" s="355"/>
      <c r="Q8" s="366"/>
      <c r="R8" s="361"/>
      <c r="S8" s="367"/>
    </row>
    <row r="9" spans="1:19" ht="14.25" customHeight="1" x14ac:dyDescent="0.25">
      <c r="A9" s="341"/>
      <c r="B9" s="341"/>
      <c r="C9" s="341"/>
      <c r="D9" s="342"/>
      <c r="E9" s="343"/>
      <c r="J9" s="344"/>
      <c r="K9" s="344"/>
      <c r="L9" s="345"/>
      <c r="M9" s="344"/>
      <c r="N9" s="344"/>
      <c r="O9" s="344"/>
      <c r="P9" s="344"/>
      <c r="Q9" s="344"/>
      <c r="R9" s="344"/>
      <c r="S9" s="344"/>
    </row>
    <row r="10" spans="1:19" ht="14.25" customHeight="1" x14ac:dyDescent="0.25">
      <c r="A10" s="341"/>
      <c r="B10" s="341"/>
      <c r="C10" s="341"/>
      <c r="D10" s="342"/>
      <c r="E10" s="343"/>
      <c r="J10" s="344"/>
      <c r="K10" s="344"/>
      <c r="L10" s="345"/>
      <c r="M10" s="344"/>
      <c r="N10" s="344"/>
      <c r="O10" s="344"/>
      <c r="P10" s="344"/>
      <c r="Q10" s="344"/>
      <c r="R10" s="344"/>
      <c r="S10" s="344"/>
    </row>
    <row r="11" spans="1:19" ht="14.25" customHeight="1" x14ac:dyDescent="0.25">
      <c r="A11" s="341"/>
      <c r="B11" s="341"/>
      <c r="C11" s="341"/>
      <c r="D11" s="342"/>
      <c r="E11" s="343"/>
      <c r="J11" s="344"/>
      <c r="K11" s="344"/>
      <c r="L11" s="345"/>
      <c r="M11" s="344"/>
      <c r="N11" s="344"/>
      <c r="O11" s="344"/>
      <c r="P11" s="344"/>
      <c r="Q11" s="344"/>
      <c r="R11" s="344"/>
      <c r="S11" s="344"/>
    </row>
    <row r="12" spans="1:19" ht="14.25" customHeight="1" x14ac:dyDescent="0.25">
      <c r="A12" s="341"/>
      <c r="B12" s="341"/>
      <c r="C12" s="341"/>
      <c r="D12" s="342"/>
      <c r="E12" s="343"/>
      <c r="J12" s="344"/>
      <c r="K12" s="344"/>
      <c r="L12" s="345"/>
      <c r="M12" s="344"/>
      <c r="N12" s="344"/>
      <c r="O12" s="344"/>
      <c r="P12" s="344"/>
      <c r="Q12" s="344"/>
      <c r="R12" s="344"/>
      <c r="S12" s="344"/>
    </row>
    <row r="13" spans="1:19" ht="14.25" customHeight="1" x14ac:dyDescent="0.25">
      <c r="A13" s="341"/>
      <c r="B13" s="341"/>
      <c r="C13" s="341"/>
      <c r="D13" s="342"/>
      <c r="E13" s="343"/>
      <c r="J13" s="344"/>
      <c r="K13" s="344"/>
      <c r="L13" s="345"/>
      <c r="M13" s="344"/>
      <c r="N13" s="344"/>
      <c r="O13" s="344"/>
      <c r="P13" s="344"/>
      <c r="Q13" s="344"/>
      <c r="R13" s="344"/>
      <c r="S13" s="344"/>
    </row>
    <row r="14" spans="1:19" ht="14.25" customHeight="1" x14ac:dyDescent="0.25">
      <c r="A14" s="341"/>
      <c r="B14" s="341"/>
      <c r="C14" s="341"/>
      <c r="D14" s="342"/>
      <c r="E14" s="343"/>
      <c r="J14" s="344"/>
      <c r="K14" s="344"/>
      <c r="L14" s="345"/>
      <c r="M14" s="344"/>
      <c r="N14" s="344"/>
      <c r="O14" s="344"/>
      <c r="P14" s="344"/>
      <c r="Q14" s="344"/>
      <c r="R14" s="344"/>
      <c r="S14" s="344"/>
    </row>
    <row r="15" spans="1:19" ht="14.25" customHeight="1" x14ac:dyDescent="0.25">
      <c r="A15" s="341"/>
      <c r="B15" s="341"/>
      <c r="C15" s="341"/>
      <c r="D15" s="342"/>
      <c r="E15" s="343"/>
      <c r="J15" s="344"/>
      <c r="K15" s="344"/>
      <c r="L15" s="345"/>
      <c r="M15" s="344"/>
      <c r="N15" s="344"/>
      <c r="O15" s="344"/>
      <c r="P15" s="344"/>
      <c r="Q15" s="344"/>
      <c r="R15" s="344"/>
      <c r="S15" s="344"/>
    </row>
    <row r="16" spans="1:19" ht="14.25" customHeight="1" x14ac:dyDescent="0.25">
      <c r="A16" s="341"/>
      <c r="B16" s="341"/>
      <c r="C16" s="341"/>
      <c r="D16" s="342"/>
      <c r="E16" s="343"/>
      <c r="J16" s="344"/>
      <c r="K16" s="344"/>
      <c r="L16" s="345"/>
      <c r="M16" s="344"/>
      <c r="N16" s="344"/>
      <c r="O16" s="344"/>
      <c r="P16" s="344"/>
      <c r="Q16" s="344"/>
      <c r="R16" s="344"/>
      <c r="S16" s="344"/>
    </row>
    <row r="17" spans="1:19" ht="14.25" customHeight="1" x14ac:dyDescent="0.25">
      <c r="A17" s="341"/>
      <c r="B17" s="341"/>
      <c r="C17" s="341"/>
      <c r="D17" s="342"/>
      <c r="E17" s="343"/>
      <c r="J17" s="344"/>
      <c r="K17" s="344"/>
      <c r="L17" s="345"/>
      <c r="M17" s="344"/>
      <c r="N17" s="344"/>
      <c r="O17" s="344"/>
      <c r="P17" s="344"/>
      <c r="Q17" s="344"/>
      <c r="R17" s="344"/>
      <c r="S17" s="344"/>
    </row>
    <row r="18" spans="1:19" ht="14.25" customHeight="1" x14ac:dyDescent="0.25">
      <c r="A18" s="341"/>
      <c r="B18" s="341"/>
      <c r="C18" s="341"/>
      <c r="D18" s="342"/>
      <c r="E18" s="343"/>
      <c r="J18" s="344"/>
      <c r="K18" s="344"/>
      <c r="L18" s="345"/>
      <c r="M18" s="344"/>
      <c r="N18" s="344"/>
      <c r="O18" s="344"/>
      <c r="P18" s="344"/>
      <c r="Q18" s="344"/>
      <c r="R18" s="344"/>
      <c r="S18" s="344"/>
    </row>
    <row r="19" spans="1:19" ht="14.25" customHeight="1" x14ac:dyDescent="0.25">
      <c r="A19" s="341"/>
      <c r="B19" s="341"/>
      <c r="C19" s="341"/>
      <c r="D19" s="342"/>
      <c r="E19" s="343"/>
      <c r="J19" s="344"/>
      <c r="K19" s="344"/>
      <c r="L19" s="345"/>
      <c r="M19" s="344"/>
      <c r="N19" s="344"/>
      <c r="O19" s="344"/>
      <c r="P19" s="344"/>
      <c r="Q19" s="344"/>
      <c r="R19" s="344"/>
      <c r="S19" s="344"/>
    </row>
    <row r="20" spans="1:19" ht="14.25" customHeight="1" x14ac:dyDescent="0.25">
      <c r="A20" s="341"/>
      <c r="B20" s="341"/>
      <c r="C20" s="341"/>
      <c r="D20" s="342"/>
      <c r="E20" s="343"/>
      <c r="J20" s="344"/>
      <c r="K20" s="344"/>
      <c r="L20" s="345"/>
      <c r="M20" s="344"/>
      <c r="N20" s="344"/>
      <c r="O20" s="344"/>
      <c r="P20" s="344"/>
      <c r="Q20" s="344"/>
      <c r="R20" s="344"/>
      <c r="S20" s="344"/>
    </row>
    <row r="21" spans="1:19" ht="14.25" customHeight="1" x14ac:dyDescent="0.25">
      <c r="A21" s="341"/>
      <c r="B21" s="341"/>
      <c r="C21" s="341"/>
      <c r="D21" s="342"/>
      <c r="E21" s="343"/>
      <c r="J21" s="344"/>
      <c r="K21" s="344"/>
      <c r="L21" s="345"/>
      <c r="M21" s="344"/>
      <c r="N21" s="344"/>
      <c r="O21" s="344"/>
      <c r="P21" s="344"/>
      <c r="Q21" s="344"/>
      <c r="R21" s="344"/>
      <c r="S21" s="344"/>
    </row>
    <row r="22" spans="1:19" ht="14.25" customHeight="1" x14ac:dyDescent="0.25">
      <c r="A22" s="341"/>
      <c r="B22" s="341"/>
      <c r="C22" s="341"/>
      <c r="D22" s="342"/>
      <c r="E22" s="343"/>
      <c r="J22" s="344"/>
      <c r="K22" s="344"/>
      <c r="L22" s="345"/>
      <c r="M22" s="344"/>
      <c r="N22" s="344"/>
      <c r="O22" s="344"/>
      <c r="P22" s="344"/>
      <c r="Q22" s="344"/>
      <c r="R22" s="344"/>
      <c r="S22" s="344"/>
    </row>
    <row r="23" spans="1:19" ht="14.25" customHeight="1" x14ac:dyDescent="0.25">
      <c r="A23" s="341"/>
      <c r="B23" s="341"/>
      <c r="C23" s="341"/>
      <c r="D23" s="342"/>
      <c r="E23" s="343"/>
      <c r="J23" s="344"/>
      <c r="K23" s="344"/>
      <c r="L23" s="345"/>
      <c r="M23" s="344"/>
      <c r="N23" s="344"/>
      <c r="O23" s="344"/>
      <c r="P23" s="344"/>
      <c r="Q23" s="344"/>
      <c r="R23" s="344"/>
      <c r="S23" s="344"/>
    </row>
    <row r="24" spans="1:19" ht="14.25" customHeight="1" x14ac:dyDescent="0.25">
      <c r="A24" s="341"/>
      <c r="B24" s="341"/>
      <c r="C24" s="341"/>
      <c r="D24" s="342"/>
      <c r="E24" s="343"/>
      <c r="J24" s="344"/>
      <c r="K24" s="344"/>
      <c r="L24" s="345"/>
      <c r="M24" s="344"/>
      <c r="N24" s="344"/>
      <c r="O24" s="344"/>
      <c r="P24" s="344"/>
      <c r="Q24" s="344"/>
      <c r="R24" s="344"/>
      <c r="S24" s="344"/>
    </row>
    <row r="25" spans="1:19" ht="14.25" customHeight="1" x14ac:dyDescent="0.25">
      <c r="A25" s="341"/>
      <c r="B25" s="341"/>
      <c r="C25" s="341"/>
      <c r="D25" s="342"/>
      <c r="E25" s="343"/>
      <c r="J25" s="344"/>
      <c r="K25" s="344"/>
      <c r="L25" s="345"/>
      <c r="M25" s="344"/>
      <c r="N25" s="344"/>
      <c r="O25" s="344"/>
      <c r="P25" s="344"/>
      <c r="Q25" s="344"/>
      <c r="R25" s="344"/>
      <c r="S25" s="344"/>
    </row>
    <row r="26" spans="1:19" ht="14.25" customHeight="1" x14ac:dyDescent="0.25">
      <c r="A26" s="341"/>
      <c r="B26" s="341"/>
      <c r="C26" s="341"/>
      <c r="D26" s="342"/>
      <c r="E26" s="343"/>
      <c r="J26" s="344"/>
      <c r="K26" s="344"/>
      <c r="L26" s="345"/>
      <c r="M26" s="344"/>
      <c r="N26" s="344"/>
      <c r="O26" s="344"/>
      <c r="P26" s="344"/>
      <c r="Q26" s="344"/>
      <c r="R26" s="344"/>
      <c r="S26" s="344"/>
    </row>
    <row r="27" spans="1:19" ht="14.25" customHeight="1" x14ac:dyDescent="0.25">
      <c r="A27" s="341"/>
      <c r="B27" s="341"/>
      <c r="C27" s="341"/>
      <c r="D27" s="342"/>
      <c r="E27" s="343"/>
      <c r="J27" s="344"/>
      <c r="K27" s="344"/>
      <c r="L27" s="345"/>
      <c r="M27" s="344"/>
      <c r="N27" s="344"/>
      <c r="O27" s="344"/>
      <c r="P27" s="344"/>
      <c r="Q27" s="344"/>
      <c r="R27" s="344"/>
      <c r="S27" s="344"/>
    </row>
    <row r="28" spans="1:19" ht="14.25" customHeight="1" x14ac:dyDescent="0.25">
      <c r="A28" s="341"/>
      <c r="B28" s="341"/>
      <c r="C28" s="341"/>
      <c r="D28" s="342"/>
      <c r="E28" s="343"/>
      <c r="J28" s="344"/>
      <c r="K28" s="344"/>
      <c r="L28" s="345"/>
      <c r="M28" s="344"/>
      <c r="N28" s="344"/>
      <c r="O28" s="344"/>
      <c r="P28" s="344"/>
      <c r="Q28" s="344"/>
      <c r="R28" s="344"/>
      <c r="S28" s="344"/>
    </row>
    <row r="29" spans="1:19" ht="14.25" customHeight="1" x14ac:dyDescent="0.25">
      <c r="A29" s="341"/>
      <c r="B29" s="341"/>
      <c r="C29" s="341"/>
      <c r="D29" s="342"/>
      <c r="E29" s="343"/>
      <c r="J29" s="344"/>
      <c r="K29" s="344"/>
      <c r="L29" s="345"/>
      <c r="M29" s="344"/>
      <c r="N29" s="344"/>
      <c r="O29" s="344"/>
      <c r="P29" s="344"/>
      <c r="Q29" s="344"/>
      <c r="R29" s="344"/>
      <c r="S29" s="344"/>
    </row>
    <row r="30" spans="1:19" ht="14.25" customHeight="1" x14ac:dyDescent="0.25">
      <c r="A30" s="341"/>
      <c r="B30" s="341"/>
      <c r="C30" s="341"/>
      <c r="D30" s="342"/>
      <c r="E30" s="343"/>
      <c r="J30" s="344"/>
      <c r="K30" s="344"/>
      <c r="L30" s="345"/>
      <c r="M30" s="344"/>
      <c r="N30" s="344"/>
      <c r="O30" s="344"/>
      <c r="P30" s="344"/>
      <c r="Q30" s="344"/>
      <c r="R30" s="344"/>
      <c r="S30" s="344"/>
    </row>
    <row r="31" spans="1:19" ht="14.25" customHeight="1" x14ac:dyDescent="0.25">
      <c r="A31" s="341"/>
      <c r="B31" s="341"/>
      <c r="C31" s="341"/>
      <c r="D31" s="342"/>
      <c r="E31" s="343"/>
      <c r="J31" s="344"/>
      <c r="K31" s="344"/>
      <c r="L31" s="345"/>
      <c r="M31" s="344"/>
      <c r="N31" s="344"/>
      <c r="O31" s="344"/>
      <c r="P31" s="344"/>
      <c r="Q31" s="344"/>
      <c r="R31" s="344"/>
      <c r="S31" s="344"/>
    </row>
    <row r="32" spans="1:19" ht="14.25" customHeight="1" x14ac:dyDescent="0.25">
      <c r="A32" s="341"/>
      <c r="B32" s="341"/>
      <c r="C32" s="341"/>
      <c r="D32" s="342"/>
      <c r="E32" s="343"/>
      <c r="J32" s="344"/>
      <c r="K32" s="344"/>
      <c r="L32" s="345"/>
      <c r="M32" s="344"/>
      <c r="N32" s="344"/>
      <c r="O32" s="344"/>
      <c r="P32" s="344"/>
      <c r="Q32" s="344"/>
      <c r="R32" s="344"/>
      <c r="S32" s="344"/>
    </row>
    <row r="33" spans="1:19" ht="14.25" customHeight="1" x14ac:dyDescent="0.25">
      <c r="A33" s="341"/>
      <c r="B33" s="341"/>
      <c r="C33" s="341"/>
      <c r="D33" s="342"/>
      <c r="E33" s="343"/>
      <c r="J33" s="344"/>
      <c r="K33" s="344"/>
      <c r="L33" s="345"/>
      <c r="M33" s="344"/>
      <c r="N33" s="344"/>
      <c r="O33" s="344"/>
      <c r="P33" s="344"/>
      <c r="Q33" s="344"/>
      <c r="R33" s="344"/>
      <c r="S33" s="344"/>
    </row>
    <row r="34" spans="1:19" ht="14.25" customHeight="1" x14ac:dyDescent="0.25">
      <c r="A34" s="341"/>
      <c r="B34" s="341"/>
      <c r="C34" s="341"/>
      <c r="D34" s="342"/>
      <c r="E34" s="343"/>
      <c r="J34" s="344"/>
      <c r="K34" s="344"/>
      <c r="L34" s="345"/>
      <c r="M34" s="344"/>
      <c r="N34" s="344"/>
      <c r="O34" s="344"/>
      <c r="P34" s="344"/>
      <c r="Q34" s="344"/>
      <c r="R34" s="344"/>
      <c r="S34" s="344"/>
    </row>
    <row r="35" spans="1:19" ht="14.25" customHeight="1" x14ac:dyDescent="0.25">
      <c r="A35" s="341"/>
      <c r="B35" s="341"/>
      <c r="C35" s="341"/>
      <c r="D35" s="342"/>
      <c r="E35" s="343"/>
      <c r="J35" s="344"/>
      <c r="K35" s="344"/>
      <c r="L35" s="345"/>
      <c r="M35" s="344"/>
      <c r="N35" s="344"/>
      <c r="O35" s="344"/>
      <c r="P35" s="344"/>
      <c r="Q35" s="344"/>
      <c r="R35" s="344"/>
      <c r="S35" s="344"/>
    </row>
    <row r="36" spans="1:19" ht="14.25" customHeight="1" x14ac:dyDescent="0.25">
      <c r="A36" s="341"/>
      <c r="B36" s="341"/>
      <c r="C36" s="341"/>
      <c r="D36" s="342"/>
      <c r="E36" s="343"/>
      <c r="J36" s="344"/>
      <c r="K36" s="344"/>
      <c r="L36" s="345"/>
      <c r="M36" s="344"/>
      <c r="N36" s="344"/>
      <c r="O36" s="344"/>
      <c r="P36" s="344"/>
      <c r="Q36" s="344"/>
      <c r="R36" s="344"/>
      <c r="S36" s="344"/>
    </row>
    <row r="37" spans="1:19" ht="14.25" customHeight="1" x14ac:dyDescent="0.25">
      <c r="A37" s="341"/>
      <c r="B37" s="341"/>
      <c r="C37" s="341"/>
      <c r="D37" s="342"/>
      <c r="E37" s="343"/>
      <c r="J37" s="344"/>
      <c r="K37" s="344"/>
      <c r="L37" s="345"/>
      <c r="M37" s="344"/>
      <c r="N37" s="344"/>
      <c r="O37" s="344"/>
      <c r="P37" s="344"/>
      <c r="Q37" s="344"/>
      <c r="R37" s="344"/>
      <c r="S37" s="344"/>
    </row>
    <row r="38" spans="1:19" ht="14.25" customHeight="1" x14ac:dyDescent="0.25">
      <c r="A38" s="341"/>
      <c r="B38" s="341"/>
      <c r="C38" s="341"/>
      <c r="D38" s="342"/>
      <c r="E38" s="343"/>
      <c r="J38" s="344"/>
      <c r="K38" s="344"/>
      <c r="L38" s="345"/>
      <c r="M38" s="344"/>
      <c r="N38" s="344"/>
      <c r="O38" s="344"/>
      <c r="P38" s="344"/>
      <c r="Q38" s="344"/>
      <c r="R38" s="344"/>
      <c r="S38" s="344"/>
    </row>
    <row r="39" spans="1:19" ht="14.25" customHeight="1" x14ac:dyDescent="0.25">
      <c r="A39" s="341"/>
      <c r="B39" s="341"/>
      <c r="C39" s="341"/>
      <c r="D39" s="342"/>
      <c r="E39" s="343"/>
      <c r="J39" s="344"/>
      <c r="K39" s="344"/>
      <c r="L39" s="345"/>
      <c r="M39" s="344"/>
      <c r="N39" s="344"/>
      <c r="O39" s="344"/>
      <c r="P39" s="344"/>
      <c r="Q39" s="344"/>
      <c r="R39" s="344"/>
      <c r="S39" s="344"/>
    </row>
    <row r="40" spans="1:19" ht="14.25" customHeight="1" x14ac:dyDescent="0.25">
      <c r="A40" s="341"/>
      <c r="B40" s="341"/>
      <c r="C40" s="341"/>
      <c r="D40" s="342"/>
      <c r="E40" s="343"/>
      <c r="J40" s="344"/>
      <c r="K40" s="344"/>
      <c r="L40" s="345"/>
      <c r="M40" s="344"/>
      <c r="N40" s="344"/>
      <c r="O40" s="344"/>
      <c r="P40" s="344"/>
      <c r="Q40" s="344"/>
      <c r="R40" s="344"/>
      <c r="S40" s="344"/>
    </row>
    <row r="41" spans="1:19" ht="14.25" customHeight="1" x14ac:dyDescent="0.25">
      <c r="A41" s="341"/>
      <c r="B41" s="341"/>
      <c r="C41" s="341"/>
      <c r="D41" s="342"/>
      <c r="E41" s="343"/>
      <c r="J41" s="344"/>
      <c r="K41" s="344"/>
      <c r="L41" s="345"/>
      <c r="M41" s="344"/>
      <c r="N41" s="344"/>
      <c r="O41" s="344"/>
      <c r="P41" s="344"/>
      <c r="Q41" s="344"/>
      <c r="R41" s="344"/>
      <c r="S41" s="344"/>
    </row>
    <row r="42" spans="1:19" ht="14.25" customHeight="1" x14ac:dyDescent="0.25">
      <c r="A42" s="341"/>
      <c r="B42" s="341"/>
      <c r="C42" s="341"/>
      <c r="D42" s="342"/>
      <c r="E42" s="343"/>
      <c r="J42" s="344"/>
      <c r="K42" s="344"/>
      <c r="L42" s="345"/>
      <c r="M42" s="344"/>
      <c r="N42" s="344"/>
      <c r="O42" s="344"/>
      <c r="P42" s="344"/>
      <c r="Q42" s="344"/>
      <c r="R42" s="344"/>
      <c r="S42" s="344"/>
    </row>
    <row r="43" spans="1:19" ht="14.25" customHeight="1" x14ac:dyDescent="0.25">
      <c r="A43" s="341"/>
      <c r="B43" s="341"/>
      <c r="C43" s="341"/>
      <c r="D43" s="342"/>
      <c r="E43" s="343"/>
      <c r="J43" s="344"/>
      <c r="K43" s="344"/>
      <c r="L43" s="345"/>
      <c r="M43" s="344"/>
      <c r="N43" s="344"/>
      <c r="O43" s="344"/>
      <c r="P43" s="344"/>
      <c r="Q43" s="344"/>
      <c r="R43" s="344"/>
      <c r="S43" s="344"/>
    </row>
    <row r="44" spans="1:19" ht="14.25" customHeight="1" x14ac:dyDescent="0.25">
      <c r="A44" s="341"/>
      <c r="B44" s="341"/>
      <c r="C44" s="341"/>
      <c r="D44" s="342"/>
      <c r="E44" s="343"/>
      <c r="J44" s="344"/>
      <c r="K44" s="344"/>
      <c r="L44" s="345"/>
      <c r="M44" s="344"/>
      <c r="N44" s="344"/>
      <c r="O44" s="344"/>
      <c r="P44" s="344"/>
      <c r="Q44" s="344"/>
      <c r="R44" s="344"/>
      <c r="S44" s="344"/>
    </row>
    <row r="45" spans="1:19" ht="14.25" customHeight="1" x14ac:dyDescent="0.25">
      <c r="A45" s="341"/>
      <c r="B45" s="341"/>
      <c r="C45" s="341"/>
      <c r="D45" s="342"/>
      <c r="E45" s="343"/>
      <c r="J45" s="344"/>
      <c r="K45" s="344"/>
      <c r="L45" s="345"/>
      <c r="M45" s="344"/>
      <c r="N45" s="344"/>
      <c r="O45" s="344"/>
      <c r="P45" s="344"/>
      <c r="Q45" s="344"/>
      <c r="R45" s="344"/>
      <c r="S45" s="344"/>
    </row>
    <row r="46" spans="1:19" ht="14.25" customHeight="1" x14ac:dyDescent="0.25">
      <c r="A46" s="341"/>
      <c r="B46" s="341"/>
      <c r="C46" s="341"/>
      <c r="D46" s="342"/>
      <c r="E46" s="343"/>
      <c r="J46" s="344"/>
      <c r="K46" s="344"/>
      <c r="L46" s="345"/>
      <c r="M46" s="344"/>
      <c r="N46" s="344"/>
      <c r="O46" s="344"/>
      <c r="P46" s="344"/>
      <c r="Q46" s="344"/>
      <c r="R46" s="344"/>
      <c r="S46" s="344"/>
    </row>
    <row r="47" spans="1:19" ht="14.25" customHeight="1" x14ac:dyDescent="0.25">
      <c r="A47" s="341"/>
      <c r="B47" s="341"/>
      <c r="C47" s="341"/>
      <c r="D47" s="342"/>
      <c r="E47" s="343"/>
      <c r="J47" s="344"/>
      <c r="K47" s="344"/>
      <c r="L47" s="345"/>
      <c r="M47" s="344"/>
      <c r="N47" s="344"/>
      <c r="O47" s="344"/>
      <c r="P47" s="344"/>
      <c r="Q47" s="344"/>
      <c r="R47" s="344"/>
      <c r="S47" s="344"/>
    </row>
    <row r="48" spans="1:19" ht="14.25" customHeight="1" x14ac:dyDescent="0.25">
      <c r="A48" s="341"/>
      <c r="B48" s="341"/>
      <c r="C48" s="341"/>
      <c r="D48" s="342"/>
      <c r="E48" s="343"/>
      <c r="J48" s="344"/>
      <c r="K48" s="344"/>
      <c r="L48" s="345"/>
      <c r="M48" s="344"/>
      <c r="N48" s="344"/>
      <c r="O48" s="344"/>
      <c r="P48" s="344"/>
      <c r="Q48" s="344"/>
      <c r="R48" s="344"/>
      <c r="S48" s="344"/>
    </row>
    <row r="49" spans="1:19" ht="14.25" customHeight="1" x14ac:dyDescent="0.25">
      <c r="A49" s="341"/>
      <c r="B49" s="341"/>
      <c r="C49" s="341"/>
      <c r="D49" s="342"/>
      <c r="E49" s="343"/>
      <c r="J49" s="344"/>
      <c r="K49" s="344"/>
      <c r="L49" s="345"/>
      <c r="M49" s="344"/>
      <c r="N49" s="344"/>
      <c r="O49" s="344"/>
      <c r="P49" s="344"/>
      <c r="Q49" s="344"/>
      <c r="R49" s="344"/>
      <c r="S49" s="344"/>
    </row>
    <row r="50" spans="1:19" ht="14.25" customHeight="1" x14ac:dyDescent="0.25">
      <c r="A50" s="341"/>
      <c r="B50" s="341"/>
      <c r="C50" s="341"/>
      <c r="D50" s="342"/>
      <c r="E50" s="343"/>
      <c r="J50" s="344"/>
      <c r="K50" s="344"/>
      <c r="L50" s="345"/>
      <c r="M50" s="344"/>
      <c r="N50" s="344"/>
      <c r="O50" s="344"/>
      <c r="P50" s="344"/>
      <c r="Q50" s="344"/>
      <c r="R50" s="344"/>
      <c r="S50" s="344"/>
    </row>
    <row r="51" spans="1:19" ht="14.25" customHeight="1" x14ac:dyDescent="0.25">
      <c r="A51" s="341"/>
      <c r="B51" s="341"/>
      <c r="C51" s="341"/>
      <c r="D51" s="342"/>
      <c r="E51" s="343"/>
      <c r="J51" s="344"/>
      <c r="K51" s="344"/>
      <c r="L51" s="345"/>
      <c r="M51" s="344"/>
      <c r="N51" s="344"/>
      <c r="O51" s="344"/>
      <c r="P51" s="344"/>
      <c r="Q51" s="344"/>
      <c r="R51" s="344"/>
      <c r="S51" s="344"/>
    </row>
    <row r="52" spans="1:19" ht="14.25" customHeight="1" x14ac:dyDescent="0.25">
      <c r="A52" s="341"/>
      <c r="B52" s="341"/>
      <c r="C52" s="341"/>
      <c r="D52" s="342"/>
      <c r="E52" s="343"/>
      <c r="J52" s="344"/>
      <c r="K52" s="344"/>
      <c r="L52" s="345"/>
      <c r="M52" s="344"/>
      <c r="N52" s="344"/>
      <c r="O52" s="344"/>
      <c r="P52" s="344"/>
      <c r="Q52" s="344"/>
      <c r="R52" s="344"/>
      <c r="S52" s="344"/>
    </row>
    <row r="53" spans="1:19" ht="14.25" customHeight="1" x14ac:dyDescent="0.25">
      <c r="A53" s="341"/>
      <c r="B53" s="341"/>
      <c r="C53" s="341"/>
      <c r="D53" s="342"/>
      <c r="E53" s="343"/>
      <c r="J53" s="344"/>
      <c r="K53" s="344"/>
      <c r="L53" s="345"/>
      <c r="M53" s="344"/>
      <c r="N53" s="344"/>
      <c r="O53" s="344"/>
      <c r="P53" s="344"/>
      <c r="Q53" s="344"/>
      <c r="R53" s="344"/>
      <c r="S53" s="344"/>
    </row>
    <row r="54" spans="1:19" ht="14.25" customHeight="1" x14ac:dyDescent="0.25">
      <c r="A54" s="341"/>
      <c r="B54" s="341"/>
      <c r="C54" s="341"/>
      <c r="D54" s="342"/>
      <c r="E54" s="343"/>
      <c r="J54" s="344"/>
      <c r="K54" s="344"/>
      <c r="L54" s="345"/>
      <c r="M54" s="344"/>
      <c r="N54" s="344"/>
      <c r="O54" s="344"/>
      <c r="P54" s="344"/>
      <c r="Q54" s="344"/>
      <c r="R54" s="344"/>
      <c r="S54" s="344"/>
    </row>
    <row r="55" spans="1:19" ht="14.25" customHeight="1" x14ac:dyDescent="0.25">
      <c r="A55" s="341"/>
      <c r="B55" s="341"/>
      <c r="C55" s="341"/>
      <c r="D55" s="342"/>
      <c r="E55" s="343"/>
      <c r="J55" s="344"/>
      <c r="K55" s="344"/>
      <c r="L55" s="345"/>
      <c r="M55" s="344"/>
      <c r="N55" s="344"/>
      <c r="O55" s="344"/>
      <c r="P55" s="344"/>
      <c r="Q55" s="344"/>
      <c r="R55" s="344"/>
      <c r="S55" s="344"/>
    </row>
    <row r="56" spans="1:19" ht="14.25" customHeight="1" x14ac:dyDescent="0.25">
      <c r="A56" s="341"/>
      <c r="B56" s="341"/>
      <c r="C56" s="341"/>
      <c r="D56" s="342"/>
      <c r="E56" s="343"/>
      <c r="J56" s="344"/>
      <c r="K56" s="344"/>
      <c r="L56" s="345"/>
      <c r="M56" s="344"/>
      <c r="N56" s="344"/>
      <c r="O56" s="344"/>
      <c r="P56" s="344"/>
      <c r="Q56" s="344"/>
      <c r="R56" s="344"/>
      <c r="S56" s="344"/>
    </row>
    <row r="57" spans="1:19" ht="14.25" customHeight="1" x14ac:dyDescent="0.25">
      <c r="A57" s="341"/>
      <c r="B57" s="341"/>
      <c r="C57" s="341"/>
      <c r="D57" s="342"/>
      <c r="E57" s="343"/>
      <c r="J57" s="344"/>
      <c r="K57" s="344"/>
      <c r="L57" s="345"/>
      <c r="M57" s="344"/>
      <c r="N57" s="344"/>
      <c r="O57" s="344"/>
      <c r="P57" s="344"/>
      <c r="Q57" s="344"/>
      <c r="R57" s="344"/>
      <c r="S57" s="344"/>
    </row>
    <row r="58" spans="1:19" ht="14.25" customHeight="1" x14ac:dyDescent="0.25">
      <c r="A58" s="341"/>
      <c r="B58" s="341"/>
      <c r="C58" s="341"/>
      <c r="D58" s="342"/>
      <c r="E58" s="343"/>
      <c r="J58" s="344"/>
      <c r="K58" s="344"/>
      <c r="L58" s="345"/>
      <c r="M58" s="344"/>
      <c r="N58" s="344"/>
      <c r="O58" s="344"/>
      <c r="P58" s="344"/>
      <c r="Q58" s="344"/>
      <c r="R58" s="344"/>
      <c r="S58" s="344"/>
    </row>
    <row r="59" spans="1:19" ht="14.25" customHeight="1" x14ac:dyDescent="0.25">
      <c r="A59" s="341"/>
      <c r="B59" s="341"/>
      <c r="C59" s="341"/>
      <c r="D59" s="342"/>
      <c r="E59" s="343"/>
      <c r="J59" s="344"/>
      <c r="K59" s="344"/>
      <c r="L59" s="345"/>
      <c r="M59" s="344"/>
      <c r="N59" s="344"/>
      <c r="O59" s="344"/>
      <c r="P59" s="344"/>
      <c r="Q59" s="344"/>
      <c r="R59" s="344"/>
      <c r="S59" s="344"/>
    </row>
    <row r="60" spans="1:19" ht="14.25" customHeight="1" x14ac:dyDescent="0.25">
      <c r="A60" s="341"/>
      <c r="B60" s="341"/>
      <c r="C60" s="341"/>
      <c r="D60" s="342"/>
      <c r="E60" s="343"/>
      <c r="J60" s="344"/>
      <c r="K60" s="344"/>
      <c r="L60" s="345"/>
      <c r="M60" s="344"/>
      <c r="N60" s="344"/>
      <c r="O60" s="344"/>
      <c r="P60" s="344"/>
      <c r="Q60" s="344"/>
      <c r="R60" s="344"/>
      <c r="S60" s="344"/>
    </row>
    <row r="61" spans="1:19" ht="14.25" customHeight="1" x14ac:dyDescent="0.25">
      <c r="A61" s="341"/>
      <c r="B61" s="341"/>
      <c r="C61" s="341"/>
      <c r="D61" s="342"/>
      <c r="E61" s="343"/>
      <c r="J61" s="344"/>
      <c r="K61" s="344"/>
      <c r="L61" s="345"/>
      <c r="M61" s="344"/>
      <c r="N61" s="344"/>
      <c r="O61" s="344"/>
      <c r="P61" s="344"/>
      <c r="Q61" s="344"/>
      <c r="R61" s="344"/>
      <c r="S61" s="344"/>
    </row>
    <row r="62" spans="1:19" ht="14.25" customHeight="1" x14ac:dyDescent="0.25">
      <c r="A62" s="341"/>
      <c r="B62" s="341"/>
      <c r="C62" s="341"/>
      <c r="D62" s="342"/>
      <c r="E62" s="343"/>
      <c r="J62" s="344"/>
      <c r="K62" s="344"/>
      <c r="L62" s="345"/>
      <c r="M62" s="344"/>
      <c r="N62" s="344"/>
      <c r="O62" s="344"/>
      <c r="P62" s="344"/>
      <c r="Q62" s="344"/>
      <c r="R62" s="344"/>
      <c r="S62" s="344"/>
    </row>
    <row r="63" spans="1:19" ht="14.25" customHeight="1" x14ac:dyDescent="0.25">
      <c r="A63" s="341"/>
      <c r="B63" s="341"/>
      <c r="C63" s="341"/>
      <c r="D63" s="342"/>
      <c r="E63" s="343"/>
      <c r="J63" s="344"/>
      <c r="K63" s="344"/>
      <c r="L63" s="345"/>
      <c r="M63" s="344"/>
      <c r="N63" s="344"/>
      <c r="O63" s="344"/>
      <c r="P63" s="344"/>
      <c r="Q63" s="344"/>
      <c r="R63" s="344"/>
      <c r="S63" s="344"/>
    </row>
    <row r="64" spans="1:19" ht="14.25" customHeight="1" x14ac:dyDescent="0.25">
      <c r="A64" s="341"/>
      <c r="B64" s="341"/>
      <c r="C64" s="341"/>
      <c r="D64" s="342"/>
      <c r="E64" s="343"/>
      <c r="J64" s="344"/>
      <c r="K64" s="344"/>
      <c r="L64" s="345"/>
      <c r="M64" s="344"/>
      <c r="N64" s="344"/>
      <c r="O64" s="344"/>
      <c r="P64" s="344"/>
      <c r="Q64" s="344"/>
      <c r="R64" s="344"/>
      <c r="S64" s="344"/>
    </row>
    <row r="65" spans="1:19" ht="14.25" customHeight="1" x14ac:dyDescent="0.25">
      <c r="A65" s="341"/>
      <c r="B65" s="341"/>
      <c r="C65" s="341"/>
      <c r="D65" s="342"/>
      <c r="E65" s="343"/>
      <c r="J65" s="344"/>
      <c r="K65" s="344"/>
      <c r="L65" s="345"/>
      <c r="M65" s="344"/>
      <c r="N65" s="344"/>
      <c r="O65" s="344"/>
      <c r="P65" s="344"/>
      <c r="Q65" s="344"/>
      <c r="R65" s="344"/>
      <c r="S65" s="344"/>
    </row>
    <row r="66" spans="1:19" ht="14.25" customHeight="1" x14ac:dyDescent="0.25">
      <c r="A66" s="341"/>
      <c r="B66" s="341"/>
      <c r="C66" s="341"/>
      <c r="D66" s="342"/>
      <c r="E66" s="343"/>
      <c r="J66" s="344"/>
      <c r="K66" s="344"/>
      <c r="L66" s="345"/>
      <c r="M66" s="344"/>
      <c r="N66" s="344"/>
      <c r="O66" s="344"/>
      <c r="P66" s="344"/>
      <c r="Q66" s="344"/>
      <c r="R66" s="344"/>
      <c r="S66" s="344"/>
    </row>
    <row r="67" spans="1:19" ht="14.25" customHeight="1" x14ac:dyDescent="0.25">
      <c r="A67" s="341"/>
      <c r="B67" s="341"/>
      <c r="C67" s="341"/>
      <c r="D67" s="342"/>
      <c r="E67" s="343"/>
      <c r="J67" s="344"/>
      <c r="K67" s="344"/>
      <c r="L67" s="345"/>
      <c r="M67" s="344"/>
      <c r="N67" s="344"/>
      <c r="O67" s="344"/>
      <c r="P67" s="344"/>
      <c r="Q67" s="344"/>
      <c r="R67" s="344"/>
      <c r="S67" s="344"/>
    </row>
    <row r="68" spans="1:19" ht="14.25" customHeight="1" x14ac:dyDescent="0.25">
      <c r="A68" s="341"/>
      <c r="B68" s="341"/>
      <c r="C68" s="341"/>
      <c r="D68" s="342"/>
      <c r="E68" s="343"/>
      <c r="J68" s="344"/>
      <c r="K68" s="344"/>
      <c r="L68" s="345"/>
      <c r="M68" s="344"/>
      <c r="N68" s="344"/>
      <c r="O68" s="344"/>
      <c r="P68" s="344"/>
      <c r="Q68" s="344"/>
      <c r="R68" s="344"/>
      <c r="S68" s="344"/>
    </row>
    <row r="69" spans="1:19" ht="14.25" customHeight="1" x14ac:dyDescent="0.25">
      <c r="A69" s="341"/>
      <c r="B69" s="341"/>
      <c r="C69" s="341"/>
      <c r="D69" s="342"/>
      <c r="E69" s="343"/>
      <c r="J69" s="344"/>
      <c r="K69" s="344"/>
      <c r="L69" s="345"/>
      <c r="M69" s="344"/>
      <c r="N69" s="344"/>
      <c r="O69" s="344"/>
      <c r="P69" s="344"/>
      <c r="Q69" s="344"/>
      <c r="R69" s="344"/>
      <c r="S69" s="344"/>
    </row>
    <row r="70" spans="1:19" ht="14.25" customHeight="1" x14ac:dyDescent="0.25">
      <c r="A70" s="341"/>
      <c r="B70" s="341"/>
      <c r="C70" s="341"/>
      <c r="D70" s="342"/>
      <c r="E70" s="343"/>
      <c r="J70" s="344"/>
      <c r="K70" s="344"/>
      <c r="L70" s="345"/>
      <c r="M70" s="344"/>
      <c r="N70" s="344"/>
      <c r="O70" s="344"/>
      <c r="P70" s="344"/>
      <c r="Q70" s="344"/>
      <c r="R70" s="344"/>
      <c r="S70" s="344"/>
    </row>
    <row r="71" spans="1:19" ht="14.25" customHeight="1" x14ac:dyDescent="0.25">
      <c r="A71" s="341"/>
      <c r="B71" s="341"/>
      <c r="C71" s="341"/>
      <c r="D71" s="342"/>
      <c r="E71" s="343"/>
      <c r="J71" s="344"/>
      <c r="K71" s="344"/>
      <c r="L71" s="345"/>
      <c r="M71" s="344"/>
      <c r="N71" s="344"/>
      <c r="O71" s="344"/>
      <c r="P71" s="344"/>
      <c r="Q71" s="344"/>
      <c r="R71" s="344"/>
      <c r="S71" s="344"/>
    </row>
    <row r="72" spans="1:19" ht="14.25" customHeight="1" x14ac:dyDescent="0.25">
      <c r="A72" s="341"/>
      <c r="B72" s="341"/>
      <c r="C72" s="341"/>
      <c r="D72" s="342"/>
      <c r="E72" s="343"/>
      <c r="J72" s="344"/>
      <c r="K72" s="344"/>
      <c r="L72" s="345"/>
      <c r="M72" s="344"/>
      <c r="N72" s="344"/>
      <c r="O72" s="344"/>
      <c r="P72" s="344"/>
      <c r="Q72" s="344"/>
      <c r="R72" s="344"/>
      <c r="S72" s="344"/>
    </row>
    <row r="73" spans="1:19" ht="14.25" customHeight="1" x14ac:dyDescent="0.25">
      <c r="A73" s="341"/>
      <c r="B73" s="341"/>
      <c r="C73" s="341"/>
      <c r="D73" s="342"/>
      <c r="E73" s="343"/>
      <c r="J73" s="344"/>
      <c r="K73" s="344"/>
      <c r="L73" s="345"/>
      <c r="M73" s="344"/>
      <c r="N73" s="344"/>
      <c r="O73" s="344"/>
      <c r="P73" s="344"/>
      <c r="Q73" s="344"/>
      <c r="R73" s="344"/>
      <c r="S73" s="344"/>
    </row>
    <row r="74" spans="1:19" ht="14.25" customHeight="1" x14ac:dyDescent="0.25">
      <c r="A74" s="341"/>
      <c r="B74" s="341"/>
      <c r="C74" s="341"/>
      <c r="D74" s="342"/>
      <c r="E74" s="343"/>
      <c r="J74" s="344"/>
      <c r="K74" s="344"/>
      <c r="L74" s="345"/>
      <c r="M74" s="344"/>
      <c r="N74" s="344"/>
      <c r="O74" s="344"/>
      <c r="P74" s="344"/>
      <c r="Q74" s="344"/>
      <c r="R74" s="344"/>
      <c r="S74" s="344"/>
    </row>
    <row r="75" spans="1:19" ht="14.25" customHeight="1" x14ac:dyDescent="0.25">
      <c r="A75" s="341"/>
      <c r="B75" s="341"/>
      <c r="C75" s="341"/>
      <c r="D75" s="342"/>
      <c r="E75" s="343"/>
      <c r="J75" s="344"/>
      <c r="K75" s="344"/>
      <c r="L75" s="345"/>
      <c r="M75" s="344"/>
      <c r="N75" s="344"/>
      <c r="O75" s="344"/>
      <c r="P75" s="344"/>
      <c r="Q75" s="344"/>
      <c r="R75" s="344"/>
      <c r="S75" s="344"/>
    </row>
    <row r="76" spans="1:19" ht="14.25" customHeight="1" x14ac:dyDescent="0.25">
      <c r="A76" s="341"/>
      <c r="B76" s="341"/>
      <c r="C76" s="341"/>
      <c r="D76" s="342"/>
      <c r="E76" s="343"/>
      <c r="J76" s="344"/>
      <c r="K76" s="344"/>
      <c r="L76" s="345"/>
      <c r="M76" s="344"/>
      <c r="N76" s="344"/>
      <c r="O76" s="344"/>
      <c r="P76" s="344"/>
      <c r="Q76" s="344"/>
      <c r="R76" s="344"/>
      <c r="S76" s="344"/>
    </row>
    <row r="77" spans="1:19" ht="14.25" customHeight="1" x14ac:dyDescent="0.25">
      <c r="A77" s="341"/>
      <c r="B77" s="341"/>
      <c r="C77" s="341"/>
      <c r="D77" s="342"/>
      <c r="E77" s="343"/>
      <c r="J77" s="344"/>
      <c r="K77" s="344"/>
      <c r="L77" s="345"/>
      <c r="M77" s="344"/>
      <c r="N77" s="344"/>
      <c r="O77" s="344"/>
      <c r="P77" s="344"/>
      <c r="Q77" s="344"/>
      <c r="R77" s="344"/>
      <c r="S77" s="344"/>
    </row>
    <row r="78" spans="1:19" ht="14.25" customHeight="1" x14ac:dyDescent="0.25">
      <c r="A78" s="341"/>
      <c r="B78" s="341"/>
      <c r="C78" s="341"/>
      <c r="D78" s="342"/>
      <c r="E78" s="343"/>
      <c r="J78" s="344"/>
      <c r="K78" s="344"/>
      <c r="L78" s="345"/>
      <c r="M78" s="344"/>
      <c r="N78" s="344"/>
      <c r="O78" s="344"/>
      <c r="P78" s="344"/>
      <c r="Q78" s="344"/>
      <c r="R78" s="344"/>
      <c r="S78" s="344"/>
    </row>
    <row r="79" spans="1:19" ht="14.25" customHeight="1" x14ac:dyDescent="0.25">
      <c r="A79" s="341"/>
      <c r="B79" s="341"/>
      <c r="C79" s="341"/>
      <c r="D79" s="342"/>
      <c r="E79" s="343"/>
      <c r="J79" s="344"/>
      <c r="K79" s="344"/>
      <c r="L79" s="345"/>
      <c r="M79" s="344"/>
      <c r="N79" s="344"/>
      <c r="O79" s="344"/>
      <c r="P79" s="344"/>
      <c r="Q79" s="344"/>
      <c r="R79" s="344"/>
      <c r="S79" s="344"/>
    </row>
    <row r="80" spans="1:19" ht="14.25" customHeight="1" x14ac:dyDescent="0.25">
      <c r="A80" s="341"/>
      <c r="B80" s="341"/>
      <c r="C80" s="341"/>
      <c r="D80" s="342"/>
      <c r="E80" s="343"/>
      <c r="J80" s="344"/>
      <c r="K80" s="344"/>
      <c r="L80" s="345"/>
      <c r="M80" s="344"/>
      <c r="N80" s="344"/>
      <c r="O80" s="344"/>
      <c r="P80" s="344"/>
      <c r="Q80" s="344"/>
      <c r="R80" s="344"/>
      <c r="S80" s="344"/>
    </row>
    <row r="81" spans="1:19" ht="14.25" customHeight="1" x14ac:dyDescent="0.25">
      <c r="A81" s="341"/>
      <c r="B81" s="341"/>
      <c r="C81" s="341"/>
      <c r="D81" s="342"/>
      <c r="E81" s="343"/>
      <c r="J81" s="344"/>
      <c r="K81" s="344"/>
      <c r="L81" s="345"/>
      <c r="M81" s="344"/>
      <c r="N81" s="344"/>
      <c r="O81" s="344"/>
      <c r="P81" s="344"/>
      <c r="Q81" s="344"/>
      <c r="R81" s="344"/>
      <c r="S81" s="344"/>
    </row>
    <row r="82" spans="1:19" ht="14.25" customHeight="1" x14ac:dyDescent="0.25">
      <c r="A82" s="341"/>
      <c r="B82" s="341"/>
      <c r="C82" s="341"/>
      <c r="D82" s="342"/>
      <c r="E82" s="343"/>
      <c r="J82" s="344"/>
      <c r="K82" s="344"/>
      <c r="L82" s="345"/>
      <c r="M82" s="344"/>
      <c r="N82" s="344"/>
      <c r="O82" s="344"/>
      <c r="P82" s="344"/>
      <c r="Q82" s="344"/>
      <c r="R82" s="344"/>
      <c r="S82" s="344"/>
    </row>
    <row r="83" spans="1:19" ht="14.25" customHeight="1" x14ac:dyDescent="0.25">
      <c r="A83" s="341"/>
      <c r="B83" s="341"/>
      <c r="C83" s="341"/>
      <c r="D83" s="342"/>
      <c r="E83" s="343"/>
      <c r="J83" s="344"/>
      <c r="K83" s="344"/>
      <c r="L83" s="345"/>
      <c r="M83" s="344"/>
      <c r="N83" s="344"/>
      <c r="O83" s="344"/>
      <c r="P83" s="344"/>
      <c r="Q83" s="344"/>
      <c r="R83" s="344"/>
      <c r="S83" s="344"/>
    </row>
    <row r="84" spans="1:19" ht="14.25" customHeight="1" x14ac:dyDescent="0.25">
      <c r="A84" s="341"/>
      <c r="B84" s="341"/>
      <c r="C84" s="341"/>
      <c r="D84" s="342"/>
      <c r="E84" s="343"/>
      <c r="J84" s="344"/>
      <c r="K84" s="344"/>
      <c r="L84" s="345"/>
      <c r="M84" s="344"/>
      <c r="N84" s="344"/>
      <c r="O84" s="344"/>
      <c r="P84" s="344"/>
      <c r="Q84" s="344"/>
      <c r="R84" s="344"/>
      <c r="S84" s="344"/>
    </row>
    <row r="85" spans="1:19" ht="14.25" customHeight="1" x14ac:dyDescent="0.25">
      <c r="A85" s="341"/>
      <c r="B85" s="341"/>
      <c r="C85" s="341"/>
      <c r="D85" s="342"/>
      <c r="E85" s="343"/>
      <c r="J85" s="344"/>
      <c r="K85" s="344"/>
      <c r="L85" s="345"/>
      <c r="M85" s="344"/>
      <c r="N85" s="344"/>
      <c r="O85" s="344"/>
      <c r="P85" s="344"/>
      <c r="Q85" s="344"/>
      <c r="R85" s="344"/>
      <c r="S85" s="344"/>
    </row>
    <row r="86" spans="1:19" ht="14.25" customHeight="1" x14ac:dyDescent="0.25">
      <c r="A86" s="341"/>
      <c r="B86" s="341"/>
      <c r="C86" s="341"/>
      <c r="D86" s="342"/>
      <c r="E86" s="343"/>
      <c r="J86" s="344"/>
      <c r="K86" s="344"/>
      <c r="L86" s="345"/>
      <c r="M86" s="344"/>
      <c r="N86" s="344"/>
      <c r="O86" s="344"/>
      <c r="P86" s="344"/>
      <c r="Q86" s="344"/>
      <c r="R86" s="344"/>
      <c r="S86" s="344"/>
    </row>
    <row r="87" spans="1:19" ht="14.25" customHeight="1" x14ac:dyDescent="0.25">
      <c r="A87" s="341"/>
      <c r="B87" s="341"/>
      <c r="C87" s="341"/>
      <c r="D87" s="342"/>
      <c r="E87" s="343"/>
      <c r="J87" s="344"/>
      <c r="K87" s="344"/>
      <c r="L87" s="345"/>
      <c r="M87" s="344"/>
      <c r="N87" s="344"/>
      <c r="O87" s="344"/>
      <c r="P87" s="344"/>
      <c r="Q87" s="344"/>
      <c r="R87" s="344"/>
      <c r="S87" s="344"/>
    </row>
    <row r="88" spans="1:19" ht="14.25" customHeight="1" x14ac:dyDescent="0.25">
      <c r="A88" s="341"/>
      <c r="B88" s="341"/>
      <c r="C88" s="341"/>
      <c r="D88" s="342"/>
      <c r="E88" s="343"/>
      <c r="J88" s="344"/>
      <c r="K88" s="344"/>
      <c r="L88" s="345"/>
      <c r="M88" s="344"/>
      <c r="N88" s="344"/>
      <c r="O88" s="344"/>
      <c r="P88" s="344"/>
      <c r="Q88" s="344"/>
      <c r="R88" s="344"/>
      <c r="S88" s="344"/>
    </row>
    <row r="89" spans="1:19" ht="14.25" customHeight="1" x14ac:dyDescent="0.25">
      <c r="A89" s="341"/>
      <c r="B89" s="341"/>
      <c r="C89" s="341"/>
      <c r="D89" s="342"/>
      <c r="E89" s="343"/>
      <c r="J89" s="344"/>
      <c r="K89" s="344"/>
      <c r="L89" s="345"/>
      <c r="M89" s="344"/>
      <c r="N89" s="344"/>
      <c r="O89" s="344"/>
      <c r="P89" s="344"/>
      <c r="Q89" s="344"/>
      <c r="R89" s="344"/>
      <c r="S89" s="344"/>
    </row>
    <row r="90" spans="1:19" ht="14.25" customHeight="1" x14ac:dyDescent="0.25">
      <c r="A90" s="341"/>
      <c r="B90" s="341"/>
      <c r="C90" s="341"/>
      <c r="D90" s="342"/>
      <c r="E90" s="343"/>
      <c r="J90" s="344"/>
      <c r="K90" s="344"/>
      <c r="L90" s="345"/>
      <c r="M90" s="344"/>
      <c r="N90" s="344"/>
      <c r="O90" s="344"/>
      <c r="P90" s="344"/>
      <c r="Q90" s="344"/>
      <c r="R90" s="344"/>
      <c r="S90" s="344"/>
    </row>
    <row r="91" spans="1:19" ht="14.25" customHeight="1" x14ac:dyDescent="0.25">
      <c r="A91" s="341"/>
      <c r="B91" s="341"/>
      <c r="C91" s="341"/>
      <c r="D91" s="342"/>
      <c r="E91" s="343"/>
      <c r="J91" s="344"/>
      <c r="K91" s="344"/>
      <c r="L91" s="345"/>
      <c r="M91" s="344"/>
      <c r="N91" s="344"/>
      <c r="O91" s="344"/>
      <c r="P91" s="344"/>
      <c r="Q91" s="344"/>
      <c r="R91" s="344"/>
      <c r="S91" s="344"/>
    </row>
    <row r="92" spans="1:19" ht="14.25" customHeight="1" x14ac:dyDescent="0.25">
      <c r="A92" s="341"/>
      <c r="B92" s="341"/>
      <c r="C92" s="341"/>
      <c r="D92" s="342"/>
      <c r="E92" s="343"/>
      <c r="J92" s="344"/>
      <c r="K92" s="344"/>
      <c r="L92" s="345"/>
      <c r="M92" s="344"/>
      <c r="N92" s="344"/>
      <c r="O92" s="344"/>
      <c r="P92" s="344"/>
      <c r="Q92" s="344"/>
      <c r="R92" s="344"/>
      <c r="S92" s="344"/>
    </row>
    <row r="93" spans="1:19" ht="14.25" customHeight="1" x14ac:dyDescent="0.25">
      <c r="A93" s="341"/>
      <c r="B93" s="341"/>
      <c r="C93" s="341"/>
      <c r="D93" s="342"/>
      <c r="E93" s="343"/>
      <c r="J93" s="344"/>
      <c r="K93" s="344"/>
      <c r="L93" s="345"/>
      <c r="M93" s="344"/>
      <c r="N93" s="344"/>
      <c r="O93" s="344"/>
      <c r="P93" s="344"/>
      <c r="Q93" s="344"/>
      <c r="R93" s="344"/>
      <c r="S93" s="344"/>
    </row>
    <row r="94" spans="1:19" ht="14.25" customHeight="1" x14ac:dyDescent="0.25">
      <c r="A94" s="341"/>
      <c r="B94" s="341"/>
      <c r="C94" s="341"/>
      <c r="D94" s="342"/>
      <c r="E94" s="343"/>
      <c r="J94" s="344"/>
      <c r="K94" s="344"/>
      <c r="L94" s="345"/>
      <c r="M94" s="344"/>
      <c r="N94" s="344"/>
      <c r="O94" s="344"/>
      <c r="P94" s="344"/>
      <c r="Q94" s="344"/>
      <c r="R94" s="344"/>
      <c r="S94" s="344"/>
    </row>
    <row r="95" spans="1:19" ht="14.25" customHeight="1" x14ac:dyDescent="0.25">
      <c r="A95" s="341"/>
      <c r="B95" s="341"/>
      <c r="C95" s="341"/>
      <c r="D95" s="342"/>
      <c r="E95" s="343"/>
      <c r="J95" s="344"/>
      <c r="K95" s="344"/>
      <c r="L95" s="345"/>
      <c r="M95" s="344"/>
      <c r="N95" s="344"/>
      <c r="O95" s="344"/>
      <c r="P95" s="344"/>
      <c r="Q95" s="344"/>
      <c r="R95" s="344"/>
      <c r="S95" s="344"/>
    </row>
    <row r="96" spans="1:19" ht="14.25" customHeight="1" x14ac:dyDescent="0.25">
      <c r="A96" s="341"/>
      <c r="B96" s="341"/>
      <c r="C96" s="341"/>
      <c r="D96" s="342"/>
      <c r="E96" s="343"/>
      <c r="J96" s="344"/>
      <c r="K96" s="344"/>
      <c r="L96" s="345"/>
      <c r="M96" s="344"/>
      <c r="N96" s="344"/>
      <c r="O96" s="344"/>
      <c r="P96" s="344"/>
      <c r="Q96" s="344"/>
      <c r="R96" s="344"/>
      <c r="S96" s="344"/>
    </row>
    <row r="97" spans="1:19" ht="14.25" customHeight="1" x14ac:dyDescent="0.25">
      <c r="A97" s="341"/>
      <c r="B97" s="341"/>
      <c r="C97" s="341"/>
      <c r="D97" s="342"/>
      <c r="E97" s="343"/>
      <c r="J97" s="344"/>
      <c r="K97" s="344"/>
      <c r="L97" s="345"/>
      <c r="M97" s="344"/>
      <c r="N97" s="344"/>
      <c r="O97" s="344"/>
      <c r="P97" s="344"/>
      <c r="Q97" s="344"/>
      <c r="R97" s="344"/>
      <c r="S97" s="344"/>
    </row>
    <row r="98" spans="1:19" ht="14.25" customHeight="1" x14ac:dyDescent="0.25">
      <c r="A98" s="341"/>
      <c r="B98" s="341"/>
      <c r="C98" s="341"/>
      <c r="D98" s="342"/>
      <c r="E98" s="343"/>
      <c r="J98" s="344"/>
      <c r="K98" s="344"/>
      <c r="L98" s="345"/>
      <c r="M98" s="344"/>
      <c r="N98" s="344"/>
      <c r="O98" s="344"/>
      <c r="P98" s="344"/>
      <c r="Q98" s="344"/>
      <c r="R98" s="344"/>
      <c r="S98" s="344"/>
    </row>
    <row r="99" spans="1:19" ht="14.25" customHeight="1" x14ac:dyDescent="0.25">
      <c r="A99" s="341"/>
      <c r="B99" s="341"/>
      <c r="C99" s="341"/>
      <c r="D99" s="342"/>
      <c r="E99" s="343"/>
      <c r="J99" s="344"/>
      <c r="K99" s="344"/>
      <c r="L99" s="345"/>
      <c r="M99" s="344"/>
      <c r="N99" s="344"/>
      <c r="O99" s="344"/>
      <c r="P99" s="344"/>
      <c r="Q99" s="344"/>
      <c r="R99" s="344"/>
      <c r="S99" s="344"/>
    </row>
    <row r="100" spans="1:19" ht="14.25" customHeight="1" x14ac:dyDescent="0.25">
      <c r="A100" s="341"/>
      <c r="B100" s="341"/>
      <c r="C100" s="341"/>
      <c r="D100" s="342"/>
      <c r="E100" s="343"/>
      <c r="J100" s="344"/>
      <c r="K100" s="344"/>
      <c r="L100" s="345"/>
      <c r="M100" s="344"/>
      <c r="N100" s="344"/>
      <c r="O100" s="344"/>
      <c r="P100" s="344"/>
      <c r="Q100" s="344"/>
      <c r="R100" s="344"/>
      <c r="S100" s="344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tabSelected="1" zoomScale="85" zoomScaleNormal="85" workbookViewId="0">
      <selection activeCell="M11" sqref="M11"/>
    </sheetView>
  </sheetViews>
  <sheetFormatPr defaultColWidth="14.42578125" defaultRowHeight="15" customHeight="1" x14ac:dyDescent="0.25"/>
  <cols>
    <col min="1" max="1" width="9.8554687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10" width="13" customWidth="1"/>
    <col min="11" max="11" width="15.42578125" customWidth="1"/>
    <col min="12" max="12" width="28.28515625" customWidth="1"/>
  </cols>
  <sheetData>
    <row r="1" spans="1:12" ht="14.25" customHeight="1" x14ac:dyDescent="0.25">
      <c r="A1" s="94" t="s">
        <v>209</v>
      </c>
    </row>
    <row r="2" spans="1:12" ht="14.25" customHeight="1" x14ac:dyDescent="0.25">
      <c r="A2" s="368" t="s">
        <v>210</v>
      </c>
      <c r="B2" s="70">
        <v>45170</v>
      </c>
      <c r="C2" s="368" t="s">
        <v>211</v>
      </c>
      <c r="D2" s="70">
        <v>45658</v>
      </c>
      <c r="F2" s="368" t="s">
        <v>212</v>
      </c>
      <c r="G2" s="374"/>
      <c r="I2" s="368" t="s">
        <v>26</v>
      </c>
      <c r="J2" s="379"/>
    </row>
    <row r="3" spans="1:12" ht="14.25" customHeight="1" x14ac:dyDescent="0.25">
      <c r="K3" t="s">
        <v>90</v>
      </c>
    </row>
    <row r="4" spans="1:12" ht="37.5" customHeight="1" x14ac:dyDescent="0.25">
      <c r="A4" s="6" t="s">
        <v>213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214</v>
      </c>
      <c r="J4" s="6" t="s">
        <v>215</v>
      </c>
      <c r="K4" s="6" t="s">
        <v>216</v>
      </c>
      <c r="L4" s="7" t="s">
        <v>26</v>
      </c>
    </row>
    <row r="5" spans="1:12" ht="14.25" customHeight="1" x14ac:dyDescent="0.25">
      <c r="A5" s="369"/>
      <c r="B5" s="375">
        <v>45294</v>
      </c>
      <c r="C5" s="375">
        <v>45294</v>
      </c>
      <c r="D5" s="369" t="s">
        <v>35</v>
      </c>
      <c r="E5" s="369" t="s">
        <v>36</v>
      </c>
      <c r="F5" s="369" t="s">
        <v>37</v>
      </c>
      <c r="G5" s="369">
        <v>40169320</v>
      </c>
      <c r="H5" s="375">
        <v>45300</v>
      </c>
      <c r="I5" s="369"/>
      <c r="J5" s="375">
        <v>45300</v>
      </c>
      <c r="K5" s="369">
        <v>0</v>
      </c>
      <c r="L5" s="375" t="s">
        <v>46</v>
      </c>
    </row>
    <row r="6" spans="1:12" ht="14.25" customHeight="1" x14ac:dyDescent="0.25">
      <c r="A6" s="369"/>
      <c r="B6" s="375">
        <v>45294</v>
      </c>
      <c r="C6" s="375">
        <v>45294</v>
      </c>
      <c r="D6" s="369" t="s">
        <v>35</v>
      </c>
      <c r="E6" s="369" t="s">
        <v>36</v>
      </c>
      <c r="F6" s="369" t="s">
        <v>47</v>
      </c>
      <c r="G6" s="369">
        <v>40169320</v>
      </c>
      <c r="H6" s="375">
        <v>45300</v>
      </c>
      <c r="I6" s="369"/>
      <c r="J6" s="375">
        <v>45300</v>
      </c>
      <c r="K6" s="369">
        <v>0</v>
      </c>
      <c r="L6" s="375" t="s">
        <v>46</v>
      </c>
    </row>
    <row r="7" spans="1:12" ht="14.25" customHeight="1" x14ac:dyDescent="0.25">
      <c r="A7" s="369"/>
      <c r="B7" s="375">
        <v>45294</v>
      </c>
      <c r="C7" s="375">
        <v>45294</v>
      </c>
      <c r="D7" s="369" t="s">
        <v>232</v>
      </c>
      <c r="E7" s="369" t="s">
        <v>36</v>
      </c>
      <c r="F7" s="369" t="s">
        <v>48</v>
      </c>
      <c r="G7" s="369">
        <v>40169320</v>
      </c>
      <c r="H7" s="375">
        <v>45300</v>
      </c>
      <c r="I7" s="369"/>
      <c r="J7" s="375">
        <v>45300</v>
      </c>
      <c r="K7" s="369">
        <v>0</v>
      </c>
      <c r="L7" s="375" t="s">
        <v>46</v>
      </c>
    </row>
    <row r="8" spans="1:12" ht="14.25" customHeight="1" x14ac:dyDescent="0.25">
      <c r="A8" s="369"/>
      <c r="B8" s="375">
        <v>45314</v>
      </c>
      <c r="C8" s="375">
        <v>45314</v>
      </c>
      <c r="D8" s="369" t="s">
        <v>49</v>
      </c>
      <c r="E8" s="369" t="s">
        <v>50</v>
      </c>
      <c r="F8" s="369" t="s">
        <v>51</v>
      </c>
      <c r="G8" s="369">
        <v>40169320</v>
      </c>
      <c r="H8" s="375">
        <v>45317</v>
      </c>
      <c r="I8" s="369"/>
      <c r="J8" s="375">
        <v>45317</v>
      </c>
      <c r="K8" s="369">
        <v>0</v>
      </c>
      <c r="L8" s="375" t="s">
        <v>59</v>
      </c>
    </row>
    <row r="9" spans="1:12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>
        <f>SUM(K5:K8)</f>
        <v>0</v>
      </c>
      <c r="L9" s="369"/>
    </row>
    <row r="10" spans="1:12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</row>
    <row r="11" spans="1:12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</row>
    <row r="12" spans="1:12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</row>
    <row r="13" spans="1:12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</row>
    <row r="14" spans="1:12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</row>
    <row r="15" spans="1:12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</row>
    <row r="16" spans="1:12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</row>
    <row r="17" spans="1:12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75"/>
      <c r="L17" s="369"/>
    </row>
    <row r="18" spans="1:12" ht="14.25" customHeight="1" x14ac:dyDescent="0.25">
      <c r="K18" s="381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220</v>
      </c>
    </row>
    <row r="23" spans="1:12" ht="50.1" customHeight="1" x14ac:dyDescent="0.25">
      <c r="A23" s="6" t="s">
        <v>2</v>
      </c>
      <c r="B23" t="s">
        <v>221</v>
      </c>
    </row>
    <row r="24" spans="1:12" ht="50.1" customHeight="1" x14ac:dyDescent="0.25">
      <c r="A24" s="6" t="s">
        <v>3</v>
      </c>
      <c r="B24" t="s">
        <v>222</v>
      </c>
    </row>
    <row r="25" spans="1:12" ht="50.1" customHeight="1" x14ac:dyDescent="0.25">
      <c r="A25" s="6" t="s">
        <v>4</v>
      </c>
      <c r="B25" t="s">
        <v>223</v>
      </c>
    </row>
    <row r="26" spans="1:12" ht="50.1" customHeight="1" x14ac:dyDescent="0.25">
      <c r="A26" s="6" t="s">
        <v>5</v>
      </c>
      <c r="B26" t="s">
        <v>224</v>
      </c>
    </row>
    <row r="27" spans="1:12" ht="50.1" customHeight="1" x14ac:dyDescent="0.25">
      <c r="A27" s="6" t="s">
        <v>6</v>
      </c>
      <c r="B27" s="374" t="s">
        <v>227</v>
      </c>
    </row>
    <row r="28" spans="1:12" ht="50.1" customHeight="1" x14ac:dyDescent="0.25">
      <c r="A28" s="6" t="s">
        <v>24</v>
      </c>
      <c r="B28" t="s">
        <v>229</v>
      </c>
    </row>
    <row r="29" spans="1:12" ht="50.1" customHeight="1" x14ac:dyDescent="0.25">
      <c r="A29" s="6" t="s">
        <v>214</v>
      </c>
      <c r="B29" t="s">
        <v>237</v>
      </c>
    </row>
    <row r="30" spans="1:12" ht="50.1" customHeight="1" x14ac:dyDescent="0.25">
      <c r="A30" s="6" t="s">
        <v>215</v>
      </c>
      <c r="B30" s="373" t="s">
        <v>226</v>
      </c>
    </row>
    <row r="31" spans="1:12" ht="50.1" customHeight="1" x14ac:dyDescent="0.25">
      <c r="A31" s="6" t="s">
        <v>216</v>
      </c>
      <c r="B31" s="374" t="s">
        <v>228</v>
      </c>
    </row>
    <row r="32" spans="1:12" ht="50.1" customHeight="1" x14ac:dyDescent="0.25">
      <c r="A32" s="6" t="s">
        <v>26</v>
      </c>
      <c r="B32" t="s">
        <v>225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0"/>
  <sheetViews>
    <sheetView workbookViewId="0">
      <selection activeCell="M5" sqref="M5"/>
    </sheetView>
  </sheetViews>
  <sheetFormatPr defaultColWidth="14.42578125" defaultRowHeight="15" customHeight="1" x14ac:dyDescent="0.25"/>
  <cols>
    <col min="1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6" ht="14.25" customHeight="1" x14ac:dyDescent="0.25">
      <c r="A1" s="94" t="s">
        <v>217</v>
      </c>
      <c r="C1" s="94"/>
    </row>
    <row r="2" spans="1:16" ht="14.25" customHeight="1" x14ac:dyDescent="0.25">
      <c r="B2" s="94"/>
      <c r="C2" s="94"/>
    </row>
    <row r="3" spans="1:16" ht="14.25" customHeight="1" x14ac:dyDescent="0.25">
      <c r="A3" s="368" t="s">
        <v>210</v>
      </c>
      <c r="B3" s="368"/>
      <c r="C3" s="368"/>
      <c r="D3" s="368" t="s">
        <v>211</v>
      </c>
      <c r="G3" s="368" t="s">
        <v>95</v>
      </c>
      <c r="J3" s="368" t="s">
        <v>26</v>
      </c>
    </row>
    <row r="4" spans="1:16" ht="14.25" customHeight="1" x14ac:dyDescent="0.25"/>
    <row r="5" spans="1:16" ht="50.25" customHeight="1" x14ac:dyDescent="0.25">
      <c r="A5" s="192" t="s">
        <v>213</v>
      </c>
      <c r="B5" s="192" t="s">
        <v>17</v>
      </c>
      <c r="C5" s="192" t="s">
        <v>18</v>
      </c>
      <c r="D5" s="192" t="s">
        <v>95</v>
      </c>
      <c r="E5" s="192" t="s">
        <v>4</v>
      </c>
      <c r="F5" s="192" t="s">
        <v>6</v>
      </c>
      <c r="G5" s="192" t="s">
        <v>5</v>
      </c>
      <c r="H5" s="192" t="s">
        <v>10</v>
      </c>
      <c r="I5" s="370" t="s">
        <v>101</v>
      </c>
      <c r="J5" s="192" t="s">
        <v>20</v>
      </c>
      <c r="K5" s="192" t="s">
        <v>218</v>
      </c>
      <c r="L5" s="192" t="s">
        <v>219</v>
      </c>
      <c r="M5" s="192" t="s">
        <v>215</v>
      </c>
      <c r="N5" s="192" t="s">
        <v>26</v>
      </c>
      <c r="O5" s="371" t="s">
        <v>185</v>
      </c>
      <c r="P5" s="372" t="s">
        <v>186</v>
      </c>
    </row>
    <row r="6" spans="1:16" ht="14.25" customHeight="1" x14ac:dyDescent="0.25">
      <c r="A6" s="369"/>
      <c r="B6" s="369"/>
      <c r="C6" s="369"/>
      <c r="D6" s="369"/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</row>
    <row r="7" spans="1:16" ht="14.25" customHeight="1" x14ac:dyDescent="0.25">
      <c r="A7" s="369"/>
      <c r="B7" s="369"/>
      <c r="C7" s="369"/>
      <c r="D7" s="369"/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</row>
    <row r="8" spans="1:16" ht="14.25" customHeight="1" x14ac:dyDescent="0.25">
      <c r="A8" s="369"/>
      <c r="B8" s="369"/>
      <c r="C8" s="369"/>
      <c r="D8" s="369"/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</row>
    <row r="9" spans="1:16" ht="14.25" customHeight="1" x14ac:dyDescent="0.25">
      <c r="A9" s="369"/>
      <c r="B9" s="369"/>
      <c r="C9" s="369"/>
      <c r="D9" s="369"/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</row>
    <row r="10" spans="1:16" ht="14.25" customHeight="1" x14ac:dyDescent="0.25">
      <c r="A10" s="369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</row>
    <row r="11" spans="1:16" ht="14.25" customHeight="1" x14ac:dyDescent="0.25">
      <c r="A11" s="369"/>
      <c r="B11" s="369"/>
      <c r="C11" s="369"/>
      <c r="D11" s="369"/>
      <c r="E11" s="369"/>
      <c r="F11" s="369"/>
      <c r="G11" s="369"/>
      <c r="H11" s="369"/>
      <c r="I11" s="369"/>
      <c r="J11" s="369"/>
      <c r="K11" s="369"/>
      <c r="L11" s="369"/>
      <c r="M11" s="369"/>
      <c r="N11" s="369"/>
      <c r="O11" s="369"/>
      <c r="P11" s="369"/>
    </row>
    <row r="12" spans="1:16" ht="14.25" customHeight="1" x14ac:dyDescent="0.25">
      <c r="A12" s="369"/>
      <c r="B12" s="369"/>
      <c r="C12" s="369"/>
      <c r="D12" s="369"/>
      <c r="E12" s="369"/>
      <c r="F12" s="369"/>
      <c r="G12" s="369"/>
      <c r="H12" s="369"/>
      <c r="I12" s="369"/>
      <c r="J12" s="369"/>
      <c r="K12" s="369"/>
      <c r="L12" s="369"/>
      <c r="M12" s="369"/>
      <c r="N12" s="369"/>
      <c r="O12" s="369"/>
      <c r="P12" s="369"/>
    </row>
    <row r="13" spans="1:16" ht="14.25" customHeight="1" x14ac:dyDescent="0.25">
      <c r="A13" s="369"/>
      <c r="B13" s="369"/>
      <c r="C13" s="369"/>
      <c r="D13" s="369"/>
      <c r="E13" s="369"/>
      <c r="F13" s="369"/>
      <c r="G13" s="369"/>
      <c r="H13" s="369"/>
      <c r="I13" s="369"/>
      <c r="J13" s="369"/>
      <c r="K13" s="369"/>
      <c r="L13" s="369"/>
      <c r="M13" s="369"/>
      <c r="N13" s="369"/>
      <c r="O13" s="369"/>
      <c r="P13" s="369"/>
    </row>
    <row r="14" spans="1:16" ht="14.25" customHeight="1" x14ac:dyDescent="0.25">
      <c r="A14" s="369"/>
      <c r="B14" s="369"/>
      <c r="C14" s="369"/>
      <c r="D14" s="369"/>
      <c r="E14" s="369"/>
      <c r="F14" s="369"/>
      <c r="G14" s="369"/>
      <c r="H14" s="369"/>
      <c r="I14" s="369"/>
      <c r="J14" s="369"/>
      <c r="K14" s="369"/>
      <c r="L14" s="369"/>
      <c r="M14" s="369"/>
      <c r="N14" s="369"/>
      <c r="O14" s="369"/>
      <c r="P14" s="369"/>
    </row>
    <row r="15" spans="1:16" ht="14.25" customHeight="1" x14ac:dyDescent="0.25">
      <c r="A15" s="369"/>
      <c r="B15" s="369"/>
      <c r="C15" s="369"/>
      <c r="D15" s="369"/>
      <c r="E15" s="369"/>
      <c r="F15" s="369"/>
      <c r="G15" s="369"/>
      <c r="H15" s="369"/>
      <c r="I15" s="369"/>
      <c r="J15" s="369"/>
      <c r="K15" s="369"/>
      <c r="L15" s="369"/>
      <c r="M15" s="369"/>
      <c r="N15" s="369"/>
      <c r="O15" s="369"/>
      <c r="P15" s="369"/>
    </row>
    <row r="16" spans="1:16" ht="14.25" customHeight="1" x14ac:dyDescent="0.25">
      <c r="A16" s="369"/>
      <c r="B16" s="369"/>
      <c r="C16" s="36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</row>
    <row r="17" spans="1:16" ht="14.25" customHeight="1" x14ac:dyDescent="0.25">
      <c r="A17" s="369"/>
      <c r="B17" s="369"/>
      <c r="C17" s="36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</row>
    <row r="18" spans="1:16" ht="14.25" customHeight="1" x14ac:dyDescent="0.25">
      <c r="A18" s="369"/>
      <c r="B18" s="369"/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</row>
    <row r="19" spans="1:16" ht="14.25" customHeight="1" x14ac:dyDescent="0.25"/>
    <row r="20" spans="1:16" ht="14.25" customHeight="1" x14ac:dyDescent="0.25"/>
    <row r="21" spans="1:16" ht="14.25" customHeight="1" x14ac:dyDescent="0.25"/>
    <row r="22" spans="1:16" ht="14.25" customHeight="1" x14ac:dyDescent="0.25"/>
    <row r="23" spans="1:16" ht="14.25" customHeight="1" x14ac:dyDescent="0.25"/>
    <row r="24" spans="1:16" ht="14.25" customHeight="1" x14ac:dyDescent="0.25"/>
    <row r="25" spans="1:16" ht="14.25" customHeight="1" x14ac:dyDescent="0.25"/>
    <row r="26" spans="1:16" ht="14.25" customHeight="1" x14ac:dyDescent="0.25"/>
    <row r="27" spans="1:16" ht="14.25" customHeight="1" x14ac:dyDescent="0.25"/>
    <row r="28" spans="1:16" ht="14.25" customHeight="1" x14ac:dyDescent="0.25"/>
    <row r="29" spans="1:16" ht="14.25" customHeight="1" x14ac:dyDescent="0.25"/>
    <row r="30" spans="1:16" ht="14.25" customHeight="1" x14ac:dyDescent="0.25"/>
    <row r="31" spans="1:16" ht="14.25" customHeight="1" x14ac:dyDescent="0.25"/>
    <row r="32" spans="1:1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B16" sqref="B16"/>
    </sheetView>
  </sheetViews>
  <sheetFormatPr defaultRowHeight="15" x14ac:dyDescent="0.25"/>
  <sheetData>
    <row r="1" spans="1:1" x14ac:dyDescent="0.25">
      <c r="A1" t="s">
        <v>230</v>
      </c>
    </row>
    <row r="2" spans="1:1" x14ac:dyDescent="0.25">
      <c r="A2" t="s">
        <v>49</v>
      </c>
    </row>
    <row r="3" spans="1:1" x14ac:dyDescent="0.25">
      <c r="A3" t="s">
        <v>231</v>
      </c>
    </row>
    <row r="4" spans="1:1" x14ac:dyDescent="0.25">
      <c r="A4" t="s">
        <v>232</v>
      </c>
    </row>
    <row r="5" spans="1:1" x14ac:dyDescent="0.25">
      <c r="A5" t="s">
        <v>233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1" t="s">
        <v>46</v>
      </c>
    </row>
    <row r="2" spans="1:1" x14ac:dyDescent="0.25">
      <c r="A2" s="31" t="s">
        <v>234</v>
      </c>
    </row>
    <row r="3" spans="1:1" x14ac:dyDescent="0.25">
      <c r="A3" s="31" t="s">
        <v>151</v>
      </c>
    </row>
    <row r="4" spans="1:1" x14ac:dyDescent="0.25">
      <c r="A4" s="31" t="s">
        <v>59</v>
      </c>
    </row>
    <row r="5" spans="1:1" x14ac:dyDescent="0.25">
      <c r="A5" s="31"/>
    </row>
    <row r="6" spans="1:1" x14ac:dyDescent="0.25">
      <c r="A6" s="31"/>
    </row>
    <row r="7" spans="1:1" x14ac:dyDescent="0.25">
      <c r="A7" s="31"/>
    </row>
    <row r="8" spans="1:1" x14ac:dyDescent="0.25">
      <c r="A8" s="31"/>
    </row>
    <row r="9" spans="1:1" x14ac:dyDescent="0.25">
      <c r="A9" s="31"/>
    </row>
    <row r="10" spans="1:1" x14ac:dyDescent="0.25">
      <c r="A10" s="31"/>
    </row>
    <row r="11" spans="1:1" x14ac:dyDescent="0.25">
      <c r="A11" s="3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553D-64F6-4972-8B25-A34FC547C4B1}">
  <sheetPr codeName="Sheet10"/>
  <dimension ref="A1:E2"/>
  <sheetViews>
    <sheetView workbookViewId="0">
      <selection activeCell="E6" sqref="E6"/>
    </sheetView>
  </sheetViews>
  <sheetFormatPr defaultRowHeight="15" x14ac:dyDescent="0.25"/>
  <cols>
    <col min="1" max="5" width="19" customWidth="1"/>
  </cols>
  <sheetData>
    <row r="1" spans="1:5" x14ac:dyDescent="0.25">
      <c r="A1" t="s">
        <v>238</v>
      </c>
      <c r="B1" s="380" t="s">
        <v>239</v>
      </c>
      <c r="C1" s="380" t="s">
        <v>240</v>
      </c>
      <c r="D1" t="s">
        <v>241</v>
      </c>
      <c r="E1" t="s">
        <v>242</v>
      </c>
    </row>
    <row r="2" spans="1:5" x14ac:dyDescent="0.25">
      <c r="B2" s="380"/>
      <c r="C2" s="38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  <vt:lpstr>Form1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Ta Chi Nguyen</cp:lastModifiedBy>
  <cp:lastPrinted>2024-12-13T07:56:31Z</cp:lastPrinted>
  <dcterms:created xsi:type="dcterms:W3CDTF">2015-06-05T18:17:20Z</dcterms:created>
  <dcterms:modified xsi:type="dcterms:W3CDTF">2025-01-09T06:06:50Z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